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ookup" sheetId="4" state="hidden" r:id="rId4"/>
    <sheet xmlns:r="http://schemas.openxmlformats.org/officeDocument/2006/relationships" name="Measures &amp; Formulas" sheetId="5" state="visible" r:id="rId5"/>
    <sheet xmlns:r="http://schemas.openxmlformats.org/officeDocument/2006/relationships" name="Guide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6">
    <font>
      <name val="Calibri"/>
      <family val="2"/>
      <color theme="1"/>
      <sz val="11"/>
      <scheme val="minor"/>
    </font>
    <font>
      <name val="Aptos"/>
      <b val="1"/>
      <color rgb="00FFFFFF"/>
    </font>
    <font>
      <b val="1"/>
      <color rgb="00FFFFFF"/>
    </font>
    <font>
      <name val="Aptos Display"/>
      <b val="1"/>
      <color rgb="00FFFFFF"/>
      <sz val="20"/>
    </font>
    <font>
      <name val="Aptos"/>
      <color rgb="00EAF3F8"/>
      <sz val="10"/>
    </font>
    <font>
      <name val="Aptos"/>
      <color rgb="00CFE1EA"/>
      <sz val="9"/>
    </font>
    <font>
      <name val="Aptos"/>
      <b val="1"/>
      <color rgb="006B7280"/>
      <sz val="9"/>
    </font>
    <font>
      <name val="Aptos"/>
      <b val="1"/>
      <color rgb="006B7280"/>
      <sz val="10"/>
    </font>
    <font>
      <name val="Aptos Display"/>
      <b val="1"/>
      <color rgb="00163B5C"/>
      <sz val="16"/>
    </font>
    <font>
      <b val="1"/>
      <color rgb="00163B5C"/>
      <sz val="13"/>
    </font>
    <font>
      <name val="Aptos Display"/>
      <b val="1"/>
      <color rgb="00163B5C"/>
      <sz val="13"/>
    </font>
    <font>
      <name val="Aptos"/>
      <b val="1"/>
      <color rgb="00FFFFFF"/>
      <sz val="9"/>
    </font>
    <font>
      <b val="1"/>
      <color rgb="006B7280"/>
    </font>
    <font>
      <b val="1"/>
      <color rgb="00163B5C"/>
    </font>
    <font>
      <name val="Aptos"/>
      <color rgb="001F2933"/>
    </font>
    <font>
      <name val="Aptos Display"/>
      <b val="1"/>
      <color rgb="00163B5C"/>
      <sz val="18"/>
    </font>
  </fonts>
  <fills count="5">
    <fill>
      <patternFill/>
    </fill>
    <fill>
      <patternFill patternType="gray125"/>
    </fill>
    <fill>
      <patternFill patternType="solid">
        <fgColor rgb="00163B5C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bottom style="thin">
        <color rgb="001F9D8A"/>
      </bottom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  <border>
      <left/>
      <right/>
      <top style="thin">
        <color rgb="00D8DEE9"/>
      </top>
      <bottom/>
      <diagonal/>
    </border>
    <border>
      <left/>
      <right style="thin">
        <color rgb="00D8DEE9"/>
      </right>
      <top style="thin">
        <color rgb="00D8DEE9"/>
      </top>
      <bottom/>
      <diagonal/>
    </border>
    <border>
      <left/>
      <right style="thin">
        <color rgb="00D8DEE9"/>
      </right>
      <top style="thin">
        <color rgb="00D8DEE9"/>
      </top>
      <bottom style="thin">
        <color rgb="00D8DEE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3" fontId="8" fillId="4" borderId="2" applyAlignment="1" pivotButton="0" quotePrefix="0" xfId="0">
      <alignment vertical="center" wrapText="1"/>
    </xf>
    <xf numFmtId="165" fontId="8" fillId="4" borderId="2" applyAlignment="1" pivotButton="0" quotePrefix="0" xfId="0">
      <alignment vertical="center" wrapText="1"/>
    </xf>
    <xf numFmtId="1" fontId="8" fillId="4" borderId="2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3" fontId="0" fillId="3" borderId="2" applyAlignment="1" pivotButton="0" quotePrefix="0" xfId="0">
      <alignment vertical="center" wrapText="1"/>
    </xf>
    <xf numFmtId="165" fontId="0" fillId="3" borderId="2" applyAlignment="1" pivotButton="0" quotePrefix="0" xfId="0">
      <alignment vertical="center" wrapText="1"/>
    </xf>
    <xf numFmtId="0" fontId="12" fillId="4" borderId="2" applyAlignment="1" pivotButton="0" quotePrefix="0" xfId="0">
      <alignment vertical="center" wrapText="1"/>
    </xf>
    <xf numFmtId="0" fontId="13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1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164" fontId="14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5" fillId="0" borderId="0" pivotButton="0" quotePrefix="0" xfId="0"/>
    <xf numFmtId="0" fontId="13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FF3E8"/>
        </patternFill>
      </fill>
    </dxf>
    <dxf>
      <fill>
        <patternFill patternType="solid">
          <fgColor rgb="00FFF2D8"/>
        </patternFill>
      </fill>
    </dxf>
    <dxf>
      <fill>
        <patternFill patternType="solid">
          <fgColor rgb="00FCE8E8"/>
        </patternFill>
      </fill>
    </dxf>
    <dxf>
      <fill>
        <patternFill patternType="solid">
          <fgColor rgb="00E5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'Summary'!$B$17:$B$28</f>
            </numRef>
          </cat>
          <val>
            <numRef>
              <f>'Summary'!$C$17:$C$28</f>
            </numRef>
          </val>
        </ser>
        <ser>
          <idx val="1"/>
          <order val="1"/>
          <tx>
            <strRef>
              <f>'Summary'!D16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'Summary'!$B$17:$B$28</f>
            </numRef>
          </cat>
          <val>
            <numRef>
              <f>'Summary'!$D$17:$D$28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 Achievement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'Summary'!D49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'Summary'!$A$50:$A$59</f>
            </numRef>
          </cat>
          <val>
            <numRef>
              <f>'Summary'!$D$50:$D$59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Achievement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Products by Sales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'Summary'!$A$34:$A$43</f>
            </numRef>
          </cat>
          <val>
            <numRef>
              <f>'Summary'!$B$34:$B$43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Contribution %</a:t>
            </a:r>
          </a:p>
        </rich>
      </tx>
    </title>
    <plotArea>
      <doughnutChart>
        <varyColors val="1"/>
        <ser>
          <idx val="0"/>
          <order val="0"/>
          <tx>
            <strRef>
              <f>'Summary'!F33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'Summary'!$A$34:$A$43</f>
            </numRef>
          </cat>
          <val>
            <numRef>
              <f>'Summary'!$F$34:$F$43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31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P1321" headerRowCount="1">
  <autoFilter ref="A1:P1321"/>
  <tableColumns count="16">
    <tableColumn id="1" name="Product Name"/>
    <tableColumn id="2" name="Region"/>
    <tableColumn id="3" name="Date"/>
    <tableColumn id="4" name="Medical Rep"/>
    <tableColumn id="5" name="Unit_Price"/>
    <tableColumn id="6" name="Sales_Units"/>
    <tableColumn id="7" name="Target_Units"/>
    <tableColumn id="8" name="Sales Value"/>
    <tableColumn id="9" name="Target Value"/>
    <tableColumn id="10" name="Month"/>
    <tableColumn id="11" name="Month Num"/>
    <tableColumn id="12" name="Quarter"/>
    <tableColumn id="13" name="Year"/>
    <tableColumn id="14" name="Month Date"/>
    <tableColumn id="15" name="Achievement %"/>
    <tableColumn id="16" name="Variance vs Tar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asuresTable" displayName="MeasuresTable" ref="A1:D14" headerRowCount="1">
  <autoFilter ref="A1:D14"/>
  <tableColumns count="4">
    <tableColumn id="1" name="Metric"/>
    <tableColumn id="2" name="Excel Formula / Logic"/>
    <tableColumn id="3" name="Power BI DAX Measure"/>
    <tableColumn id="4" name="Business 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  <col width="14" customWidth="1" min="13" max="13"/>
    <col width="4" customWidth="1" min="14" max="14"/>
  </cols>
  <sheetData>
    <row r="1" ht="30" customHeight="1">
      <c r="A1" s="1" t="n"/>
      <c r="B1" s="2" t="inlineStr">
        <is>
          <t>Professional Pharma Sales Dashboard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 ht="20" customHeight="1">
      <c r="A2" s="1" t="n"/>
      <c r="B2" s="4" t="inlineStr">
        <is>
          <t>Executive sales, target achievement, territory, product, and medical representative performance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20" customHeight="1">
      <c r="A3" s="1" t="n"/>
      <c r="B3" s="5" t="inlineStr">
        <is>
          <t>Reporting period: Jan 2024 - Dec 2024 | Source rows: 1,320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4" customHeight="1">
      <c r="A5" s="6" t="n"/>
      <c r="B5" s="7" t="inlineStr">
        <is>
          <t>Product</t>
        </is>
      </c>
      <c r="C5" s="8" t="inlineStr">
        <is>
          <t>All</t>
        </is>
      </c>
      <c r="D5" s="7" t="inlineStr">
        <is>
          <t>Region</t>
        </is>
      </c>
      <c r="E5" s="8" t="inlineStr">
        <is>
          <t>All</t>
        </is>
      </c>
      <c r="F5" s="7" t="inlineStr">
        <is>
          <t>Medical Rep</t>
        </is>
      </c>
      <c r="G5" s="8" t="inlineStr">
        <is>
          <t>All</t>
        </is>
      </c>
      <c r="H5" s="7" t="inlineStr">
        <is>
          <t>Month</t>
        </is>
      </c>
      <c r="I5" s="8" t="inlineStr">
        <is>
          <t>All</t>
        </is>
      </c>
      <c r="J5" s="7" t="inlineStr">
        <is>
          <t>Quarter</t>
        </is>
      </c>
      <c r="K5" s="8" t="inlineStr">
        <is>
          <t>All</t>
        </is>
      </c>
      <c r="L5" s="7" t="inlineStr">
        <is>
          <t>Year</t>
        </is>
      </c>
      <c r="M5" s="8" t="inlineStr">
        <is>
          <t>All</t>
        </is>
      </c>
      <c r="N5" s="6" t="n"/>
    </row>
    <row r="6" ht="2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24" customHeight="1">
      <c r="A7" s="6" t="n"/>
      <c r="B7" s="9" t="inlineStr">
        <is>
          <t>Total Sales Units</t>
        </is>
      </c>
      <c r="C7" s="10" t="n"/>
      <c r="D7" s="9" t="inlineStr">
        <is>
          <t>Total Sales Value</t>
        </is>
      </c>
      <c r="E7" s="10" t="n"/>
      <c r="F7" s="9" t="inlineStr">
        <is>
          <t>Total Target Units</t>
        </is>
      </c>
      <c r="G7" s="10" t="n"/>
      <c r="H7" s="9" t="inlineStr">
        <is>
          <t>Total Target Value</t>
        </is>
      </c>
      <c r="I7" s="10" t="n"/>
      <c r="J7" s="9" t="inlineStr">
        <is>
          <t>Achievement %</t>
        </is>
      </c>
      <c r="K7" s="10" t="n"/>
      <c r="L7" s="9" t="inlineStr">
        <is>
          <t>Variance vs Target</t>
        </is>
      </c>
      <c r="M7" s="10" t="n"/>
      <c r="N7" s="6" t="n"/>
    </row>
    <row r="8" ht="24" customHeight="1">
      <c r="A8" s="6" t="n"/>
      <c r="B8" s="11">
        <f>Summary!B4</f>
        <v/>
      </c>
      <c r="C8" s="10" t="n"/>
      <c r="D8" s="11">
        <f>Summary!B5</f>
        <v/>
      </c>
      <c r="E8" s="10" t="n"/>
      <c r="F8" s="11">
        <f>Summary!B6</f>
        <v/>
      </c>
      <c r="G8" s="10" t="n"/>
      <c r="H8" s="11">
        <f>Summary!B7</f>
        <v/>
      </c>
      <c r="I8" s="10" t="n"/>
      <c r="J8" s="12">
        <f>Summary!B8</f>
        <v/>
      </c>
      <c r="K8" s="10" t="n"/>
      <c r="L8" s="11">
        <f>Summary!B9</f>
        <v/>
      </c>
      <c r="M8" s="10" t="n"/>
      <c r="N8" s="6" t="n"/>
    </row>
    <row r="9" ht="24" customHeight="1">
      <c r="A9" s="6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6" t="n"/>
    </row>
    <row r="10" ht="24" customHeight="1">
      <c r="A10" s="6" t="n"/>
      <c r="B10" s="9" t="inlineStr">
        <is>
          <t>Products</t>
        </is>
      </c>
      <c r="C10" s="10" t="n"/>
      <c r="D10" s="9" t="inlineStr">
        <is>
          <t>Medical Reps</t>
        </is>
      </c>
      <c r="E10" s="10" t="n"/>
      <c r="F10" s="9" t="inlineStr">
        <is>
          <t>Avg Sales per Rep</t>
        </is>
      </c>
      <c r="G10" s="10" t="n"/>
      <c r="H10" s="6" t="n"/>
      <c r="I10" s="6" t="n"/>
      <c r="J10" s="6" t="n"/>
      <c r="K10" s="6" t="n"/>
      <c r="L10" s="6" t="n"/>
      <c r="M10" s="6" t="n"/>
      <c r="N10" s="6" t="n"/>
    </row>
    <row r="11" ht="24" customHeight="1">
      <c r="A11" s="6" t="n"/>
      <c r="B11" s="13">
        <f>Summary!B10</f>
        <v/>
      </c>
      <c r="C11" s="10" t="n"/>
      <c r="D11" s="13">
        <f>Summary!B11</f>
        <v/>
      </c>
      <c r="E11" s="10" t="n"/>
      <c r="F11" s="11">
        <f>Summary!B12</f>
        <v/>
      </c>
      <c r="G11" s="10" t="n"/>
      <c r="H11" s="6" t="n"/>
      <c r="I11" s="6" t="n"/>
      <c r="J11" s="6" t="n"/>
      <c r="K11" s="6" t="n"/>
      <c r="L11" s="6" t="n"/>
      <c r="M11" s="6" t="n"/>
      <c r="N11" s="6" t="n"/>
    </row>
    <row r="12" ht="24" customHeight="1">
      <c r="A12" s="6" t="n"/>
      <c r="B12" s="10" t="n"/>
      <c r="C12" s="10" t="n"/>
      <c r="D12" s="10" t="n"/>
      <c r="E12" s="10" t="n"/>
      <c r="F12" s="10" t="n"/>
      <c r="G12" s="10" t="n"/>
      <c r="H12" s="6" t="n"/>
      <c r="I12" s="6" t="n"/>
      <c r="J12" s="6" t="n"/>
      <c r="K12" s="6" t="n"/>
      <c r="L12" s="6" t="n"/>
      <c r="M12" s="6" t="n"/>
      <c r="N12" s="6" t="n"/>
    </row>
    <row r="13" ht="24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 ht="24" customHeight="1">
      <c r="A14" s="6" t="n"/>
      <c r="B14" s="14" t="inlineStr">
        <is>
          <t>Monthly Sales &amp; Target Trend</t>
        </is>
      </c>
      <c r="C14" s="3" t="n"/>
      <c r="D14" s="3" t="n"/>
      <c r="E14" s="3" t="n"/>
      <c r="F14" s="3" t="n"/>
      <c r="G14" s="6" t="n"/>
      <c r="H14" s="14" t="inlineStr">
        <is>
          <t>Regional Achievement</t>
        </is>
      </c>
      <c r="I14" s="3" t="n"/>
      <c r="J14" s="3" t="n"/>
      <c r="K14" s="3" t="n"/>
      <c r="L14" s="3" t="n"/>
      <c r="M14" s="3" t="n"/>
      <c r="N14" s="6" t="n"/>
    </row>
    <row r="15" ht="24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24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4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4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4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4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4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4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24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24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24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24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24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24" customHeight="1">
      <c r="A28" s="6" t="n"/>
      <c r="B28" s="14" t="inlineStr">
        <is>
          <t>Product Performance</t>
        </is>
      </c>
      <c r="C28" s="3" t="n"/>
      <c r="D28" s="3" t="n"/>
      <c r="E28" s="3" t="n"/>
      <c r="F28" s="3" t="n"/>
      <c r="G28" s="6" t="n"/>
      <c r="H28" s="14" t="inlineStr">
        <is>
          <t>Medical Representative Ranking</t>
        </is>
      </c>
      <c r="I28" s="3" t="n"/>
      <c r="J28" s="3" t="n"/>
      <c r="K28" s="3" t="n"/>
      <c r="L28" s="3" t="n"/>
      <c r="M28" s="3" t="n"/>
      <c r="N28" s="6" t="n"/>
    </row>
    <row r="29" ht="24" customHeight="1">
      <c r="A29" s="6" t="n"/>
      <c r="B29" s="6" t="n"/>
      <c r="C29" s="6" t="n"/>
      <c r="D29" s="6" t="n"/>
      <c r="E29" s="6" t="n"/>
      <c r="F29" s="6" t="n"/>
      <c r="G29" s="6" t="n"/>
      <c r="H29" s="15" t="inlineStr">
        <is>
          <t>Rank</t>
        </is>
      </c>
      <c r="I29" s="15" t="inlineStr">
        <is>
          <t>Medical Rep</t>
        </is>
      </c>
      <c r="J29" s="15" t="inlineStr">
        <is>
          <t>Sales Value</t>
        </is>
      </c>
      <c r="K29" s="15" t="inlineStr">
        <is>
          <t>Achievement</t>
        </is>
      </c>
      <c r="L29" s="15" t="inlineStr">
        <is>
          <t>Gap</t>
        </is>
      </c>
      <c r="M29" s="6" t="n"/>
      <c r="N29" s="6" t="n"/>
    </row>
    <row r="30" ht="24" customHeight="1">
      <c r="A30" s="6" t="n"/>
      <c r="B30" s="6" t="n"/>
      <c r="C30" s="6" t="n"/>
      <c r="D30" s="6" t="n"/>
      <c r="E30" s="6" t="n"/>
      <c r="F30" s="6" t="n"/>
      <c r="G30" s="6" t="n"/>
      <c r="H30" s="16">
        <f>Summary!G66</f>
        <v/>
      </c>
      <c r="I30" s="16">
        <f>Summary!A66</f>
        <v/>
      </c>
      <c r="J30" s="17">
        <f>Summary!B66</f>
        <v/>
      </c>
      <c r="K30" s="18">
        <f>Summary!D66</f>
        <v/>
      </c>
      <c r="L30" s="17">
        <f>Summary!E66</f>
        <v/>
      </c>
      <c r="M30" s="6" t="n"/>
      <c r="N30" s="6" t="n"/>
    </row>
    <row r="31" ht="24" customHeight="1">
      <c r="A31" s="6" t="n"/>
      <c r="B31" s="6" t="n"/>
      <c r="C31" s="6" t="n"/>
      <c r="D31" s="6" t="n"/>
      <c r="E31" s="6" t="n"/>
      <c r="F31" s="6" t="n"/>
      <c r="G31" s="6" t="n"/>
      <c r="H31" s="16">
        <f>Summary!G67</f>
        <v/>
      </c>
      <c r="I31" s="16">
        <f>Summary!A67</f>
        <v/>
      </c>
      <c r="J31" s="17">
        <f>Summary!B67</f>
        <v/>
      </c>
      <c r="K31" s="18">
        <f>Summary!D67</f>
        <v/>
      </c>
      <c r="L31" s="17">
        <f>Summary!E67</f>
        <v/>
      </c>
      <c r="M31" s="6" t="n"/>
      <c r="N31" s="6" t="n"/>
    </row>
    <row r="32" ht="24" customHeight="1">
      <c r="A32" s="6" t="n"/>
      <c r="B32" s="6" t="n"/>
      <c r="C32" s="6" t="n"/>
      <c r="D32" s="6" t="n"/>
      <c r="E32" s="6" t="n"/>
      <c r="F32" s="6" t="n"/>
      <c r="G32" s="6" t="n"/>
      <c r="H32" s="16">
        <f>Summary!G68</f>
        <v/>
      </c>
      <c r="I32" s="16">
        <f>Summary!A68</f>
        <v/>
      </c>
      <c r="J32" s="17">
        <f>Summary!B68</f>
        <v/>
      </c>
      <c r="K32" s="18">
        <f>Summary!D68</f>
        <v/>
      </c>
      <c r="L32" s="17">
        <f>Summary!E68</f>
        <v/>
      </c>
      <c r="M32" s="6" t="n"/>
      <c r="N32" s="6" t="n"/>
    </row>
    <row r="33" ht="24" customHeight="1">
      <c r="A33" s="6" t="n"/>
      <c r="B33" s="6" t="n"/>
      <c r="C33" s="6" t="n"/>
      <c r="D33" s="6" t="n"/>
      <c r="E33" s="6" t="n"/>
      <c r="F33" s="6" t="n"/>
      <c r="G33" s="6" t="n"/>
      <c r="H33" s="16">
        <f>Summary!G69</f>
        <v/>
      </c>
      <c r="I33" s="16">
        <f>Summary!A69</f>
        <v/>
      </c>
      <c r="J33" s="17">
        <f>Summary!B69</f>
        <v/>
      </c>
      <c r="K33" s="18">
        <f>Summary!D69</f>
        <v/>
      </c>
      <c r="L33" s="17">
        <f>Summary!E69</f>
        <v/>
      </c>
      <c r="M33" s="6" t="n"/>
      <c r="N33" s="6" t="n"/>
    </row>
    <row r="34" ht="24" customHeight="1">
      <c r="A34" s="6" t="n"/>
      <c r="B34" s="6" t="n"/>
      <c r="C34" s="6" t="n"/>
      <c r="D34" s="6" t="n"/>
      <c r="E34" s="6" t="n"/>
      <c r="F34" s="6" t="n"/>
      <c r="G34" s="6" t="n"/>
      <c r="H34" s="16">
        <f>Summary!G70</f>
        <v/>
      </c>
      <c r="I34" s="16">
        <f>Summary!A70</f>
        <v/>
      </c>
      <c r="J34" s="17">
        <f>Summary!B70</f>
        <v/>
      </c>
      <c r="K34" s="18">
        <f>Summary!D70</f>
        <v/>
      </c>
      <c r="L34" s="17">
        <f>Summary!E70</f>
        <v/>
      </c>
      <c r="M34" s="6" t="n"/>
      <c r="N34" s="6" t="n"/>
    </row>
    <row r="35" ht="24" customHeight="1">
      <c r="A35" s="6" t="n"/>
      <c r="B35" s="6" t="n"/>
      <c r="C35" s="6" t="n"/>
      <c r="D35" s="6" t="n"/>
      <c r="E35" s="6" t="n"/>
      <c r="F35" s="6" t="n"/>
      <c r="G35" s="6" t="n"/>
      <c r="H35" s="16">
        <f>Summary!G71</f>
        <v/>
      </c>
      <c r="I35" s="16">
        <f>Summary!A71</f>
        <v/>
      </c>
      <c r="J35" s="17">
        <f>Summary!B71</f>
        <v/>
      </c>
      <c r="K35" s="18">
        <f>Summary!D71</f>
        <v/>
      </c>
      <c r="L35" s="17">
        <f>Summary!E71</f>
        <v/>
      </c>
      <c r="M35" s="6" t="n"/>
      <c r="N35" s="6" t="n"/>
    </row>
    <row r="36" ht="24" customHeight="1">
      <c r="A36" s="6" t="n"/>
      <c r="B36" s="6" t="n"/>
      <c r="C36" s="6" t="n"/>
      <c r="D36" s="6" t="n"/>
      <c r="E36" s="6" t="n"/>
      <c r="F36" s="6" t="n"/>
      <c r="G36" s="6" t="n"/>
      <c r="H36" s="16">
        <f>Summary!G72</f>
        <v/>
      </c>
      <c r="I36" s="16">
        <f>Summary!A72</f>
        <v/>
      </c>
      <c r="J36" s="17">
        <f>Summary!B72</f>
        <v/>
      </c>
      <c r="K36" s="18">
        <f>Summary!D72</f>
        <v/>
      </c>
      <c r="L36" s="17">
        <f>Summary!E72</f>
        <v/>
      </c>
      <c r="M36" s="6" t="n"/>
      <c r="N36" s="6" t="n"/>
    </row>
    <row r="37" ht="24" customHeight="1">
      <c r="A37" s="6" t="n"/>
      <c r="B37" s="6" t="n"/>
      <c r="C37" s="6" t="n"/>
      <c r="D37" s="6" t="n"/>
      <c r="E37" s="6" t="n"/>
      <c r="F37" s="6" t="n"/>
      <c r="G37" s="6" t="n"/>
      <c r="H37" s="16">
        <f>Summary!G73</f>
        <v/>
      </c>
      <c r="I37" s="16">
        <f>Summary!A73</f>
        <v/>
      </c>
      <c r="J37" s="17">
        <f>Summary!B73</f>
        <v/>
      </c>
      <c r="K37" s="18">
        <f>Summary!D73</f>
        <v/>
      </c>
      <c r="L37" s="17">
        <f>Summary!E73</f>
        <v/>
      </c>
      <c r="M37" s="6" t="n"/>
      <c r="N37" s="6" t="n"/>
    </row>
    <row r="38" ht="24" customHeight="1">
      <c r="A38" s="6" t="n"/>
      <c r="B38" s="6" t="n"/>
      <c r="C38" s="6" t="n"/>
      <c r="D38" s="6" t="n"/>
      <c r="E38" s="6" t="n"/>
      <c r="F38" s="6" t="n"/>
      <c r="G38" s="6" t="n"/>
      <c r="H38" s="16">
        <f>Summary!G74</f>
        <v/>
      </c>
      <c r="I38" s="16">
        <f>Summary!A74</f>
        <v/>
      </c>
      <c r="J38" s="17">
        <f>Summary!B74</f>
        <v/>
      </c>
      <c r="K38" s="18">
        <f>Summary!D74</f>
        <v/>
      </c>
      <c r="L38" s="17">
        <f>Summary!E74</f>
        <v/>
      </c>
      <c r="M38" s="6" t="n"/>
      <c r="N38" s="6" t="n"/>
    </row>
    <row r="39" ht="24" customHeight="1">
      <c r="A39" s="6" t="n"/>
      <c r="B39" s="6" t="n"/>
      <c r="C39" s="6" t="n"/>
      <c r="D39" s="6" t="n"/>
      <c r="E39" s="6" t="n"/>
      <c r="F39" s="6" t="n"/>
      <c r="G39" s="6" t="n"/>
      <c r="H39" s="16">
        <f>Summary!G75</f>
        <v/>
      </c>
      <c r="I39" s="16">
        <f>Summary!A75</f>
        <v/>
      </c>
      <c r="J39" s="17">
        <f>Summary!B75</f>
        <v/>
      </c>
      <c r="K39" s="18">
        <f>Summary!D75</f>
        <v/>
      </c>
      <c r="L39" s="17">
        <f>Summary!E75</f>
        <v/>
      </c>
      <c r="M39" s="6" t="n"/>
      <c r="N39" s="6" t="n"/>
    </row>
    <row r="40" ht="24" customHeight="1">
      <c r="A40" s="6" t="n"/>
      <c r="B40" s="14" t="inlineStr">
        <is>
          <t>Smart Insights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6" t="n"/>
    </row>
    <row r="41" ht="24" customHeight="1">
      <c r="A41" s="6" t="n"/>
      <c r="B41" s="19" t="inlineStr">
        <is>
          <t>Best Region</t>
        </is>
      </c>
      <c r="C41" s="10" t="n"/>
      <c r="D41" s="20">
        <f>Summary!J4</f>
        <v/>
      </c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6" t="n"/>
    </row>
    <row r="42" ht="24" customHeight="1">
      <c r="A42" s="6" t="n"/>
      <c r="B42" s="19" t="inlineStr">
        <is>
          <t>Lowest Region</t>
        </is>
      </c>
      <c r="C42" s="10" t="n"/>
      <c r="D42" s="20">
        <f>Summary!J5</f>
        <v/>
      </c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6" t="n"/>
    </row>
    <row r="43" ht="24" customHeight="1">
      <c r="A43" s="6" t="n"/>
      <c r="B43" s="19" t="inlineStr">
        <is>
          <t>Top Product</t>
        </is>
      </c>
      <c r="C43" s="10" t="n"/>
      <c r="D43" s="20">
        <f>Summary!J6</f>
        <v/>
      </c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6" t="n"/>
    </row>
    <row r="44" ht="24" customHeight="1">
      <c r="A44" s="6" t="n"/>
      <c r="B44" s="19" t="inlineStr">
        <is>
          <t>Top Medical Rep</t>
        </is>
      </c>
      <c r="C44" s="10" t="n"/>
      <c r="D44" s="20">
        <f>Summary!J7</f>
        <v/>
      </c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6" t="n"/>
    </row>
    <row r="45" ht="24" customHeight="1">
      <c r="A45" s="6" t="n"/>
      <c r="B45" s="19" t="inlineStr">
        <is>
          <t>Largest Product Gap</t>
        </is>
      </c>
      <c r="C45" s="10" t="n"/>
      <c r="D45" s="20">
        <f>Summary!J8</f>
        <v/>
      </c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6" t="n"/>
    </row>
    <row r="46">
      <c r="A46" s="3" t="n"/>
      <c r="B46" s="19" t="inlineStr">
        <is>
          <t>Strongest Month</t>
        </is>
      </c>
      <c r="C46" s="10" t="n"/>
      <c r="D46" s="20">
        <f>Summary!J9</f>
        <v/>
      </c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3" t="n"/>
    </row>
  </sheetData>
  <mergeCells count="26">
    <mergeCell ref="F8:G9"/>
    <mergeCell ref="L7:M7"/>
    <mergeCell ref="B7:C7"/>
    <mergeCell ref="D10:E10"/>
    <mergeCell ref="F10:G10"/>
    <mergeCell ref="F7:G7"/>
    <mergeCell ref="D8:E9"/>
    <mergeCell ref="H28:M28"/>
    <mergeCell ref="F11:G12"/>
    <mergeCell ref="B40:M40"/>
    <mergeCell ref="B14:F14"/>
    <mergeCell ref="H8:I9"/>
    <mergeCell ref="B3:N3"/>
    <mergeCell ref="J8:K9"/>
    <mergeCell ref="D7:E7"/>
    <mergeCell ref="H7:I7"/>
    <mergeCell ref="B28:F28"/>
    <mergeCell ref="H14:M14"/>
    <mergeCell ref="J7:K7"/>
    <mergeCell ref="B10:C10"/>
    <mergeCell ref="B2:N2"/>
    <mergeCell ref="B8:C9"/>
    <mergeCell ref="B1:N1"/>
    <mergeCell ref="B11:C12"/>
    <mergeCell ref="D11:E12"/>
    <mergeCell ref="L8:M9"/>
  </mergeCells>
  <conditionalFormatting sqref="K30:K39">
    <cfRule type="cellIs" priority="1" operator="greaterThanOrEqual" dxfId="0">
      <formula>1</formula>
    </cfRule>
    <cfRule type="cellIs" priority="2" operator="between" dxfId="1">
      <formula>0.9</formula>
      <formula>0.9999</formula>
    </cfRule>
    <cfRule type="cellIs" priority="3" operator="lessThan" dxfId="2">
      <formula>0.9</formula>
    </cfRule>
  </conditionalFormatting>
  <conditionalFormatting sqref="J8:K9">
    <cfRule type="cellIs" priority="4" operator="greaterThanOrEqual" dxfId="3">
      <formula>1</formula>
    </cfRule>
    <cfRule type="cellIs" priority="5" operator="lessThan" dxfId="2">
      <formula>0.9</formula>
    </cfRule>
  </conditionalFormatting>
  <conditionalFormatting sqref="L8:M9">
    <cfRule type="cellIs" priority="6" operator="lessThan" dxfId="2">
      <formula>0</formula>
    </cfRule>
    <cfRule type="cellIs" priority="7" operator="greaterThanOrEqual" dxfId="3">
      <formula>0</formula>
    </cfRule>
  </conditionalFormatting>
  <dataValidations count="6">
    <dataValidation sqref="C5" showDropDown="0" showInputMessage="0" showErrorMessage="0" allowBlank="0" type="list">
      <formula1>='Lookup'!$A$2:$A$12</formula1>
    </dataValidation>
    <dataValidation sqref="E5" showDropDown="0" showInputMessage="0" showErrorMessage="0" allowBlank="0" type="list">
      <formula1>='Lookup'!$B$2:$B$12</formula1>
    </dataValidation>
    <dataValidation sqref="G5" showDropDown="0" showInputMessage="0" showErrorMessage="0" allowBlank="0" type="list">
      <formula1>='Lookup'!$C$2:$C$12</formula1>
    </dataValidation>
    <dataValidation sqref="I5" showDropDown="0" showInputMessage="0" showErrorMessage="0" allowBlank="0" type="list">
      <formula1>='Lookup'!$D$2:$D$14</formula1>
    </dataValidation>
    <dataValidation sqref="K5" showDropDown="0" showInputMessage="0" showErrorMessage="0" allowBlank="0" type="list">
      <formula1>='Lookup'!$E$2:$E$6</formula1>
    </dataValidation>
    <dataValidation sqref="M5" showDropDown="0" showInputMessage="0" showErrorMessage="0" allowBlank="0" type="list">
      <formula1>='Lookup'!$F$2:$F$3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20" customWidth="1" min="4" max="4"/>
    <col width="11" customWidth="1" min="5" max="5"/>
    <col width="12" customWidth="1" min="6" max="6"/>
    <col width="13" customWidth="1" min="7" max="7"/>
    <col width="14" customWidth="1" min="8" max="8"/>
    <col width="14" customWidth="1" min="9" max="9"/>
    <col width="10" customWidth="1" min="10" max="10"/>
    <col width="11" customWidth="1" min="11" max="11"/>
    <col width="10" customWidth="1" min="12" max="12"/>
    <col width="8" customWidth="1" min="13" max="13"/>
    <col width="13" customWidth="1" min="14" max="14"/>
    <col width="13" customWidth="1" min="15" max="15"/>
    <col width="16" customWidth="1" min="16" max="16"/>
  </cols>
  <sheetData>
    <row r="1">
      <c r="A1" s="21" t="inlineStr">
        <is>
          <t>Product Name</t>
        </is>
      </c>
      <c r="B1" s="21" t="inlineStr">
        <is>
          <t>Region</t>
        </is>
      </c>
      <c r="C1" s="21" t="inlineStr">
        <is>
          <t>Date</t>
        </is>
      </c>
      <c r="D1" s="21" t="inlineStr">
        <is>
          <t>Medical Rep</t>
        </is>
      </c>
      <c r="E1" s="21" t="inlineStr">
        <is>
          <t>Unit_Price</t>
        </is>
      </c>
      <c r="F1" s="21" t="inlineStr">
        <is>
          <t>Sales_Units</t>
        </is>
      </c>
      <c r="G1" s="21" t="inlineStr">
        <is>
          <t>Target_Units</t>
        </is>
      </c>
      <c r="H1" s="21" t="inlineStr">
        <is>
          <t>Sales Value</t>
        </is>
      </c>
      <c r="I1" s="21" t="inlineStr">
        <is>
          <t>Target Value</t>
        </is>
      </c>
      <c r="J1" s="21" t="inlineStr">
        <is>
          <t>Month</t>
        </is>
      </c>
      <c r="K1" s="21" t="inlineStr">
        <is>
          <t>Month Num</t>
        </is>
      </c>
      <c r="L1" s="21" t="inlineStr">
        <is>
          <t>Quarter</t>
        </is>
      </c>
      <c r="M1" s="21" t="inlineStr">
        <is>
          <t>Year</t>
        </is>
      </c>
      <c r="N1" s="21" t="inlineStr">
        <is>
          <t>Month Date</t>
        </is>
      </c>
      <c r="O1" s="21" t="inlineStr">
        <is>
          <t>Achievement %</t>
        </is>
      </c>
      <c r="P1" s="21" t="inlineStr">
        <is>
          <t>Variance vs Target</t>
        </is>
      </c>
    </row>
    <row r="2">
      <c r="A2" t="inlineStr">
        <is>
          <t>Augmentin 1000 MG</t>
        </is>
      </c>
      <c r="B2" t="inlineStr">
        <is>
          <t>Ismailia</t>
        </is>
      </c>
      <c r="C2" s="22" t="n">
        <v>45292</v>
      </c>
      <c r="D2" t="inlineStr">
        <is>
          <t>Mariam Saeed</t>
        </is>
      </c>
      <c r="E2" t="n">
        <v>210</v>
      </c>
      <c r="F2" t="n">
        <v>2799</v>
      </c>
      <c r="G2" t="n">
        <v>2000</v>
      </c>
      <c r="H2" s="23" t="n">
        <v>587790</v>
      </c>
      <c r="I2" s="23" t="n">
        <v>420000</v>
      </c>
      <c r="J2" t="inlineStr">
        <is>
          <t>Jan</t>
        </is>
      </c>
      <c r="K2" t="n">
        <v>1</v>
      </c>
      <c r="L2" t="inlineStr">
        <is>
          <t>Q1</t>
        </is>
      </c>
      <c r="M2" t="n">
        <v>2024</v>
      </c>
      <c r="N2" s="22" t="n">
        <v>45292</v>
      </c>
      <c r="O2" s="24" t="n">
        <v>1.3995</v>
      </c>
      <c r="P2" s="23" t="n">
        <v>167790</v>
      </c>
    </row>
    <row r="3">
      <c r="A3" t="inlineStr">
        <is>
          <t>Augmentin 625 MG</t>
        </is>
      </c>
      <c r="B3" t="inlineStr">
        <is>
          <t>Ismailia</t>
        </is>
      </c>
      <c r="C3" s="22" t="n">
        <v>45292</v>
      </c>
      <c r="D3" t="inlineStr">
        <is>
          <t>Mariam Saeed</t>
        </is>
      </c>
      <c r="E3" t="n">
        <v>117</v>
      </c>
      <c r="F3" t="n">
        <v>3093</v>
      </c>
      <c r="G3" t="n">
        <v>3120</v>
      </c>
      <c r="H3" s="23" t="n">
        <v>361881</v>
      </c>
      <c r="I3" s="23" t="n">
        <v>365040</v>
      </c>
      <c r="J3" t="inlineStr">
        <is>
          <t>Jan</t>
        </is>
      </c>
      <c r="K3" t="n">
        <v>1</v>
      </c>
      <c r="L3" t="inlineStr">
        <is>
          <t>Q1</t>
        </is>
      </c>
      <c r="M3" t="n">
        <v>2024</v>
      </c>
      <c r="N3" s="22" t="n">
        <v>45292</v>
      </c>
      <c r="O3" s="24" t="n">
        <v>0.9913461538461539</v>
      </c>
      <c r="P3" s="23" t="n">
        <v>-3159</v>
      </c>
    </row>
    <row r="4">
      <c r="A4" t="inlineStr">
        <is>
          <t>Cataflam 50 MG</t>
        </is>
      </c>
      <c r="B4" t="inlineStr">
        <is>
          <t>Ismailia</t>
        </is>
      </c>
      <c r="C4" s="22" t="n">
        <v>45292</v>
      </c>
      <c r="D4" t="inlineStr">
        <is>
          <t>Mariam Saeed</t>
        </is>
      </c>
      <c r="E4" t="n">
        <v>86</v>
      </c>
      <c r="F4" t="n">
        <v>2575</v>
      </c>
      <c r="G4" t="n">
        <v>2516</v>
      </c>
      <c r="H4" s="23" t="n">
        <v>221450</v>
      </c>
      <c r="I4" s="23" t="n">
        <v>216376</v>
      </c>
      <c r="J4" t="inlineStr">
        <is>
          <t>Jan</t>
        </is>
      </c>
      <c r="K4" t="n">
        <v>1</v>
      </c>
      <c r="L4" t="inlineStr">
        <is>
          <t>Q1</t>
        </is>
      </c>
      <c r="M4" t="n">
        <v>2024</v>
      </c>
      <c r="N4" s="22" t="n">
        <v>45292</v>
      </c>
      <c r="O4" s="24" t="n">
        <v>1.023449920508744</v>
      </c>
      <c r="P4" s="23" t="n">
        <v>5074</v>
      </c>
    </row>
    <row r="5">
      <c r="A5" t="inlineStr">
        <is>
          <t>Cataflam 25 MG</t>
        </is>
      </c>
      <c r="B5" t="inlineStr">
        <is>
          <t>Ismailia</t>
        </is>
      </c>
      <c r="C5" s="22" t="n">
        <v>45292</v>
      </c>
      <c r="D5" t="inlineStr">
        <is>
          <t>Mariam Saeed</t>
        </is>
      </c>
      <c r="E5" t="n">
        <v>34</v>
      </c>
      <c r="F5" t="n">
        <v>2676</v>
      </c>
      <c r="G5" t="n">
        <v>2568</v>
      </c>
      <c r="H5" s="23" t="n">
        <v>90984</v>
      </c>
      <c r="I5" s="23" t="n">
        <v>87312</v>
      </c>
      <c r="J5" t="inlineStr">
        <is>
          <t>Jan</t>
        </is>
      </c>
      <c r="K5" t="n">
        <v>1</v>
      </c>
      <c r="L5" t="inlineStr">
        <is>
          <t>Q1</t>
        </is>
      </c>
      <c r="M5" t="n">
        <v>2024</v>
      </c>
      <c r="N5" s="22" t="n">
        <v>45292</v>
      </c>
      <c r="O5" s="24" t="n">
        <v>1.042056074766355</v>
      </c>
      <c r="P5" s="23" t="n">
        <v>3672</v>
      </c>
    </row>
    <row r="6">
      <c r="A6" t="inlineStr">
        <is>
          <t>Concor 10 MG</t>
        </is>
      </c>
      <c r="B6" t="inlineStr">
        <is>
          <t>Ismailia</t>
        </is>
      </c>
      <c r="C6" s="22" t="n">
        <v>45292</v>
      </c>
      <c r="D6" t="inlineStr">
        <is>
          <t>Mariam Saeed</t>
        </is>
      </c>
      <c r="E6" t="n">
        <v>99</v>
      </c>
      <c r="F6" t="n">
        <v>3500</v>
      </c>
      <c r="G6" t="n">
        <v>3125</v>
      </c>
      <c r="H6" s="23" t="n">
        <v>346500</v>
      </c>
      <c r="I6" s="23" t="n">
        <v>309375</v>
      </c>
      <c r="J6" t="inlineStr">
        <is>
          <t>Jan</t>
        </is>
      </c>
      <c r="K6" t="n">
        <v>1</v>
      </c>
      <c r="L6" t="inlineStr">
        <is>
          <t>Q1</t>
        </is>
      </c>
      <c r="M6" t="n">
        <v>2024</v>
      </c>
      <c r="N6" s="22" t="n">
        <v>45292</v>
      </c>
      <c r="O6" s="24" t="n">
        <v>1.12</v>
      </c>
      <c r="P6" s="23" t="n">
        <v>37125</v>
      </c>
    </row>
    <row r="7">
      <c r="A7" t="inlineStr">
        <is>
          <t>Concor 5 MG</t>
        </is>
      </c>
      <c r="B7" t="inlineStr">
        <is>
          <t>Ismailia</t>
        </is>
      </c>
      <c r="C7" s="22" t="n">
        <v>45292</v>
      </c>
      <c r="D7" t="inlineStr">
        <is>
          <t>Mariam Saeed</t>
        </is>
      </c>
      <c r="E7" t="n">
        <v>72</v>
      </c>
      <c r="F7" t="n">
        <v>1523</v>
      </c>
      <c r="G7" t="n">
        <v>2500</v>
      </c>
      <c r="H7" s="23" t="n">
        <v>109656</v>
      </c>
      <c r="I7" s="23" t="n">
        <v>180000</v>
      </c>
      <c r="J7" t="inlineStr">
        <is>
          <t>Jan</t>
        </is>
      </c>
      <c r="K7" t="n">
        <v>1</v>
      </c>
      <c r="L7" t="inlineStr">
        <is>
          <t>Q1</t>
        </is>
      </c>
      <c r="M7" t="n">
        <v>2024</v>
      </c>
      <c r="N7" s="22" t="n">
        <v>45292</v>
      </c>
      <c r="O7" s="24" t="n">
        <v>0.6092</v>
      </c>
      <c r="P7" s="23" t="n">
        <v>-70344</v>
      </c>
    </row>
    <row r="8">
      <c r="A8" t="inlineStr">
        <is>
          <t>Glucophage 1000 MG</t>
        </is>
      </c>
      <c r="B8" t="inlineStr">
        <is>
          <t>Ismailia</t>
        </is>
      </c>
      <c r="C8" s="22" t="n">
        <v>45292</v>
      </c>
      <c r="D8" t="inlineStr">
        <is>
          <t>Mariam Saeed</t>
        </is>
      </c>
      <c r="E8" t="n">
        <v>126</v>
      </c>
      <c r="F8" t="n">
        <v>3364</v>
      </c>
      <c r="G8" t="n">
        <v>3092</v>
      </c>
      <c r="H8" s="23" t="n">
        <v>423864</v>
      </c>
      <c r="I8" s="23" t="n">
        <v>389592</v>
      </c>
      <c r="J8" t="inlineStr">
        <is>
          <t>Jan</t>
        </is>
      </c>
      <c r="K8" t="n">
        <v>1</v>
      </c>
      <c r="L8" t="inlineStr">
        <is>
          <t>Q1</t>
        </is>
      </c>
      <c r="M8" t="n">
        <v>2024</v>
      </c>
      <c r="N8" s="22" t="n">
        <v>45292</v>
      </c>
      <c r="O8" s="24" t="n">
        <v>1.087968952134541</v>
      </c>
      <c r="P8" s="23" t="n">
        <v>34272</v>
      </c>
    </row>
    <row r="9">
      <c r="A9" t="inlineStr">
        <is>
          <t>Glucophage 500 MG</t>
        </is>
      </c>
      <c r="B9" t="inlineStr">
        <is>
          <t>Ismailia</t>
        </is>
      </c>
      <c r="C9" s="22" t="n">
        <v>45292</v>
      </c>
      <c r="D9" t="inlineStr">
        <is>
          <t>Mariam Saeed</t>
        </is>
      </c>
      <c r="E9" t="n">
        <v>77</v>
      </c>
      <c r="F9" t="n">
        <v>2137</v>
      </c>
      <c r="G9" t="n">
        <v>2117</v>
      </c>
      <c r="H9" s="23" t="n">
        <v>164549</v>
      </c>
      <c r="I9" s="23" t="n">
        <v>163009</v>
      </c>
      <c r="J9" t="inlineStr">
        <is>
          <t>Jan</t>
        </is>
      </c>
      <c r="K9" t="n">
        <v>1</v>
      </c>
      <c r="L9" t="inlineStr">
        <is>
          <t>Q1</t>
        </is>
      </c>
      <c r="M9" t="n">
        <v>2024</v>
      </c>
      <c r="N9" s="22" t="n">
        <v>45292</v>
      </c>
      <c r="O9" s="24" t="n">
        <v>1.009447331128956</v>
      </c>
      <c r="P9" s="23" t="n">
        <v>1540</v>
      </c>
    </row>
    <row r="10">
      <c r="A10" t="inlineStr">
        <is>
          <t>Panadol 500 MG</t>
        </is>
      </c>
      <c r="B10" t="inlineStr">
        <is>
          <t>Ismailia</t>
        </is>
      </c>
      <c r="C10" s="22" t="n">
        <v>45292</v>
      </c>
      <c r="D10" t="inlineStr">
        <is>
          <t>Mariam Saeed</t>
        </is>
      </c>
      <c r="E10" t="n">
        <v>75</v>
      </c>
      <c r="F10" t="n">
        <v>3022</v>
      </c>
      <c r="G10" t="n">
        <v>2887</v>
      </c>
      <c r="H10" s="23" t="n">
        <v>226650</v>
      </c>
      <c r="I10" s="23" t="n">
        <v>216525</v>
      </c>
      <c r="J10" t="inlineStr">
        <is>
          <t>Jan</t>
        </is>
      </c>
      <c r="K10" t="n">
        <v>1</v>
      </c>
      <c r="L10" t="inlineStr">
        <is>
          <t>Q1</t>
        </is>
      </c>
      <c r="M10" t="n">
        <v>2024</v>
      </c>
      <c r="N10" s="22" t="n">
        <v>45292</v>
      </c>
      <c r="O10" s="24" t="n">
        <v>1.046761343955663</v>
      </c>
      <c r="P10" s="23" t="n">
        <v>10125</v>
      </c>
    </row>
    <row r="11">
      <c r="A11" t="inlineStr">
        <is>
          <t>Panadol 250 MG</t>
        </is>
      </c>
      <c r="B11" t="inlineStr">
        <is>
          <t>Ismailia</t>
        </is>
      </c>
      <c r="C11" s="22" t="n">
        <v>45292</v>
      </c>
      <c r="D11" t="inlineStr">
        <is>
          <t>Mariam Saeed</t>
        </is>
      </c>
      <c r="E11" t="n">
        <v>45</v>
      </c>
      <c r="F11" t="n">
        <v>3159</v>
      </c>
      <c r="G11" t="n">
        <v>3082</v>
      </c>
      <c r="H11" s="23" t="n">
        <v>142155</v>
      </c>
      <c r="I11" s="23" t="n">
        <v>138690</v>
      </c>
      <c r="J11" t="inlineStr">
        <is>
          <t>Jan</t>
        </is>
      </c>
      <c r="K11" t="n">
        <v>1</v>
      </c>
      <c r="L11" t="inlineStr">
        <is>
          <t>Q1</t>
        </is>
      </c>
      <c r="M11" t="n">
        <v>2024</v>
      </c>
      <c r="N11" s="22" t="n">
        <v>45292</v>
      </c>
      <c r="O11" s="24" t="n">
        <v>1.024983776768332</v>
      </c>
      <c r="P11" s="23" t="n">
        <v>3465</v>
      </c>
    </row>
    <row r="12">
      <c r="A12" t="inlineStr">
        <is>
          <t>Augmentin 1000 MG</t>
        </is>
      </c>
      <c r="B12" t="inlineStr">
        <is>
          <t>Ismailia</t>
        </is>
      </c>
      <c r="C12" s="22" t="n">
        <v>45323</v>
      </c>
      <c r="D12" t="inlineStr">
        <is>
          <t>Mariam Saeed</t>
        </is>
      </c>
      <c r="E12" t="n">
        <v>210</v>
      </c>
      <c r="F12" t="n">
        <v>3174</v>
      </c>
      <c r="G12" t="n">
        <v>3107</v>
      </c>
      <c r="H12" s="23" t="n">
        <v>666540</v>
      </c>
      <c r="I12" s="23" t="n">
        <v>652470</v>
      </c>
      <c r="J12" t="inlineStr">
        <is>
          <t>Feb</t>
        </is>
      </c>
      <c r="K12" t="n">
        <v>2</v>
      </c>
      <c r="L12" t="inlineStr">
        <is>
          <t>Q1</t>
        </is>
      </c>
      <c r="M12" t="n">
        <v>2024</v>
      </c>
      <c r="N12" s="22" t="n">
        <v>45323</v>
      </c>
      <c r="O12" s="24" t="n">
        <v>1.021564209848729</v>
      </c>
      <c r="P12" s="23" t="n">
        <v>14070</v>
      </c>
    </row>
    <row r="13">
      <c r="A13" t="inlineStr">
        <is>
          <t>Augmentin 625 MG</t>
        </is>
      </c>
      <c r="B13" t="inlineStr">
        <is>
          <t>Ismailia</t>
        </is>
      </c>
      <c r="C13" s="22" t="n">
        <v>45323</v>
      </c>
      <c r="D13" t="inlineStr">
        <is>
          <t>Mariam Saeed</t>
        </is>
      </c>
      <c r="E13" t="n">
        <v>117</v>
      </c>
      <c r="F13" t="n">
        <v>3680</v>
      </c>
      <c r="G13" t="n">
        <v>3717</v>
      </c>
      <c r="H13" s="23" t="n">
        <v>430560</v>
      </c>
      <c r="I13" s="23" t="n">
        <v>434889</v>
      </c>
      <c r="J13" t="inlineStr">
        <is>
          <t>Feb</t>
        </is>
      </c>
      <c r="K13" t="n">
        <v>2</v>
      </c>
      <c r="L13" t="inlineStr">
        <is>
          <t>Q1</t>
        </is>
      </c>
      <c r="M13" t="n">
        <v>2024</v>
      </c>
      <c r="N13" s="22" t="n">
        <v>45323</v>
      </c>
      <c r="O13" s="24" t="n">
        <v>0.9900457358084477</v>
      </c>
      <c r="P13" s="23" t="n">
        <v>-4329</v>
      </c>
    </row>
    <row r="14">
      <c r="A14" t="inlineStr">
        <is>
          <t>Cataflam 50 MG</t>
        </is>
      </c>
      <c r="B14" t="inlineStr">
        <is>
          <t>Ismailia</t>
        </is>
      </c>
      <c r="C14" s="22" t="n">
        <v>45323</v>
      </c>
      <c r="D14" t="inlineStr">
        <is>
          <t>Mariam Saeed</t>
        </is>
      </c>
      <c r="E14" t="n">
        <v>86</v>
      </c>
      <c r="F14" t="n">
        <v>2153</v>
      </c>
      <c r="G14" t="n">
        <v>2390</v>
      </c>
      <c r="H14" s="23" t="n">
        <v>185158</v>
      </c>
      <c r="I14" s="23" t="n">
        <v>205540</v>
      </c>
      <c r="J14" t="inlineStr">
        <is>
          <t>Feb</t>
        </is>
      </c>
      <c r="K14" t="n">
        <v>2</v>
      </c>
      <c r="L14" t="inlineStr">
        <is>
          <t>Q1</t>
        </is>
      </c>
      <c r="M14" t="n">
        <v>2024</v>
      </c>
      <c r="N14" s="22" t="n">
        <v>45323</v>
      </c>
      <c r="O14" s="24" t="n">
        <v>0.900836820083682</v>
      </c>
      <c r="P14" s="23" t="n">
        <v>-20382</v>
      </c>
    </row>
    <row r="15">
      <c r="A15" t="inlineStr">
        <is>
          <t>Cataflam 25 MG</t>
        </is>
      </c>
      <c r="B15" t="inlineStr">
        <is>
          <t>Ismailia</t>
        </is>
      </c>
      <c r="C15" s="22" t="n">
        <v>45323</v>
      </c>
      <c r="D15" t="inlineStr">
        <is>
          <t>Mariam Saeed</t>
        </is>
      </c>
      <c r="E15" t="n">
        <v>34</v>
      </c>
      <c r="F15" t="n">
        <v>2450</v>
      </c>
      <c r="G15" t="n">
        <v>3000</v>
      </c>
      <c r="H15" s="23" t="n">
        <v>83300</v>
      </c>
      <c r="I15" s="23" t="n">
        <v>102000</v>
      </c>
      <c r="J15" t="inlineStr">
        <is>
          <t>Feb</t>
        </is>
      </c>
      <c r="K15" t="n">
        <v>2</v>
      </c>
      <c r="L15" t="inlineStr">
        <is>
          <t>Q1</t>
        </is>
      </c>
      <c r="M15" t="n">
        <v>2024</v>
      </c>
      <c r="N15" s="22" t="n">
        <v>45323</v>
      </c>
      <c r="O15" s="24" t="n">
        <v>0.8166666666666667</v>
      </c>
      <c r="P15" s="23" t="n">
        <v>-18700</v>
      </c>
    </row>
    <row r="16">
      <c r="A16" t="inlineStr">
        <is>
          <t>Concor 10 MG</t>
        </is>
      </c>
      <c r="B16" t="inlineStr">
        <is>
          <t>Ismailia</t>
        </is>
      </c>
      <c r="C16" s="22" t="n">
        <v>45323</v>
      </c>
      <c r="D16" t="inlineStr">
        <is>
          <t>Mariam Saeed</t>
        </is>
      </c>
      <c r="E16" t="n">
        <v>99</v>
      </c>
      <c r="F16" t="n">
        <v>2035</v>
      </c>
      <c r="G16" t="n">
        <v>2214</v>
      </c>
      <c r="H16" s="23" t="n">
        <v>201465</v>
      </c>
      <c r="I16" s="23" t="n">
        <v>219186</v>
      </c>
      <c r="J16" t="inlineStr">
        <is>
          <t>Feb</t>
        </is>
      </c>
      <c r="K16" t="n">
        <v>2</v>
      </c>
      <c r="L16" t="inlineStr">
        <is>
          <t>Q1</t>
        </is>
      </c>
      <c r="M16" t="n">
        <v>2024</v>
      </c>
      <c r="N16" s="22" t="n">
        <v>45323</v>
      </c>
      <c r="O16" s="24" t="n">
        <v>0.9191508581752484</v>
      </c>
      <c r="P16" s="23" t="n">
        <v>-17721</v>
      </c>
    </row>
    <row r="17">
      <c r="A17" t="inlineStr">
        <is>
          <t>Concor 5 MG</t>
        </is>
      </c>
      <c r="B17" t="inlineStr">
        <is>
          <t>Ismailia</t>
        </is>
      </c>
      <c r="C17" s="22" t="n">
        <v>45323</v>
      </c>
      <c r="D17" t="inlineStr">
        <is>
          <t>Mariam Saeed</t>
        </is>
      </c>
      <c r="E17" t="n">
        <v>72</v>
      </c>
      <c r="F17" t="n">
        <v>3390</v>
      </c>
      <c r="G17" t="n">
        <v>3549</v>
      </c>
      <c r="H17" s="23" t="n">
        <v>244080</v>
      </c>
      <c r="I17" s="23" t="n">
        <v>255528</v>
      </c>
      <c r="J17" t="inlineStr">
        <is>
          <t>Feb</t>
        </is>
      </c>
      <c r="K17" t="n">
        <v>2</v>
      </c>
      <c r="L17" t="inlineStr">
        <is>
          <t>Q1</t>
        </is>
      </c>
      <c r="M17" t="n">
        <v>2024</v>
      </c>
      <c r="N17" s="22" t="n">
        <v>45323</v>
      </c>
      <c r="O17" s="24" t="n">
        <v>0.9551986475063398</v>
      </c>
      <c r="P17" s="23" t="n">
        <v>-11448</v>
      </c>
    </row>
    <row r="18">
      <c r="A18" t="inlineStr">
        <is>
          <t>Glucophage 1000 MG</t>
        </is>
      </c>
      <c r="B18" t="inlineStr">
        <is>
          <t>Ismailia</t>
        </is>
      </c>
      <c r="C18" s="22" t="n">
        <v>45323</v>
      </c>
      <c r="D18" t="inlineStr">
        <is>
          <t>Mariam Saeed</t>
        </is>
      </c>
      <c r="E18" t="n">
        <v>126</v>
      </c>
      <c r="F18" t="n">
        <v>1994</v>
      </c>
      <c r="G18" t="n">
        <v>2214</v>
      </c>
      <c r="H18" s="23" t="n">
        <v>251244</v>
      </c>
      <c r="I18" s="23" t="n">
        <v>278964</v>
      </c>
      <c r="J18" t="inlineStr">
        <is>
          <t>Feb</t>
        </is>
      </c>
      <c r="K18" t="n">
        <v>2</v>
      </c>
      <c r="L18" t="inlineStr">
        <is>
          <t>Q1</t>
        </is>
      </c>
      <c r="M18" t="n">
        <v>2024</v>
      </c>
      <c r="N18" s="22" t="n">
        <v>45323</v>
      </c>
      <c r="O18" s="24" t="n">
        <v>0.90063233965673</v>
      </c>
      <c r="P18" s="23" t="n">
        <v>-27720</v>
      </c>
    </row>
    <row r="19">
      <c r="A19" t="inlineStr">
        <is>
          <t>Glucophage 500 MG</t>
        </is>
      </c>
      <c r="B19" t="inlineStr">
        <is>
          <t>Ismailia</t>
        </is>
      </c>
      <c r="C19" s="22" t="n">
        <v>45323</v>
      </c>
      <c r="D19" t="inlineStr">
        <is>
          <t>Mariam Saeed</t>
        </is>
      </c>
      <c r="E19" t="n">
        <v>77</v>
      </c>
      <c r="F19" t="n">
        <v>3244</v>
      </c>
      <c r="G19" t="n">
        <v>3426</v>
      </c>
      <c r="H19" s="23" t="n">
        <v>249788</v>
      </c>
      <c r="I19" s="23" t="n">
        <v>263802</v>
      </c>
      <c r="J19" t="inlineStr">
        <is>
          <t>Feb</t>
        </is>
      </c>
      <c r="K19" t="n">
        <v>2</v>
      </c>
      <c r="L19" t="inlineStr">
        <is>
          <t>Q1</t>
        </is>
      </c>
      <c r="M19" t="n">
        <v>2024</v>
      </c>
      <c r="N19" s="22" t="n">
        <v>45323</v>
      </c>
      <c r="O19" s="24" t="n">
        <v>0.9468768242848803</v>
      </c>
      <c r="P19" s="23" t="n">
        <v>-14014</v>
      </c>
    </row>
    <row r="20">
      <c r="A20" t="inlineStr">
        <is>
          <t>Panadol 500 MG</t>
        </is>
      </c>
      <c r="B20" t="inlineStr">
        <is>
          <t>Ismailia</t>
        </is>
      </c>
      <c r="C20" s="22" t="n">
        <v>45323</v>
      </c>
      <c r="D20" t="inlineStr">
        <is>
          <t>Mariam Saeed</t>
        </is>
      </c>
      <c r="E20" t="n">
        <v>75</v>
      </c>
      <c r="F20" t="n">
        <v>2069</v>
      </c>
      <c r="G20" t="n">
        <v>2127</v>
      </c>
      <c r="H20" s="23" t="n">
        <v>155175</v>
      </c>
      <c r="I20" s="23" t="n">
        <v>159525</v>
      </c>
      <c r="J20" t="inlineStr">
        <is>
          <t>Feb</t>
        </is>
      </c>
      <c r="K20" t="n">
        <v>2</v>
      </c>
      <c r="L20" t="inlineStr">
        <is>
          <t>Q1</t>
        </is>
      </c>
      <c r="M20" t="n">
        <v>2024</v>
      </c>
      <c r="N20" s="22" t="n">
        <v>45323</v>
      </c>
      <c r="O20" s="24" t="n">
        <v>0.9727315467795017</v>
      </c>
      <c r="P20" s="23" t="n">
        <v>-4350</v>
      </c>
    </row>
    <row r="21">
      <c r="A21" t="inlineStr">
        <is>
          <t>Panadol 250 MG</t>
        </is>
      </c>
      <c r="B21" t="inlineStr">
        <is>
          <t>Ismailia</t>
        </is>
      </c>
      <c r="C21" s="22" t="n">
        <v>45323</v>
      </c>
      <c r="D21" t="inlineStr">
        <is>
          <t>Mariam Saeed</t>
        </is>
      </c>
      <c r="E21" t="n">
        <v>45</v>
      </c>
      <c r="F21" t="n">
        <v>3552</v>
      </c>
      <c r="G21" t="n">
        <v>3845</v>
      </c>
      <c r="H21" s="23" t="n">
        <v>159840</v>
      </c>
      <c r="I21" s="23" t="n">
        <v>173025</v>
      </c>
      <c r="J21" t="inlineStr">
        <is>
          <t>Feb</t>
        </is>
      </c>
      <c r="K21" t="n">
        <v>2</v>
      </c>
      <c r="L21" t="inlineStr">
        <is>
          <t>Q1</t>
        </is>
      </c>
      <c r="M21" t="n">
        <v>2024</v>
      </c>
      <c r="N21" s="22" t="n">
        <v>45323</v>
      </c>
      <c r="O21" s="24" t="n">
        <v>0.9237971391417426</v>
      </c>
      <c r="P21" s="23" t="n">
        <v>-13185</v>
      </c>
    </row>
    <row r="22">
      <c r="A22" t="inlineStr">
        <is>
          <t>Augmentin 1000 MG</t>
        </is>
      </c>
      <c r="B22" t="inlineStr">
        <is>
          <t>Ismailia</t>
        </is>
      </c>
      <c r="C22" s="22" t="n">
        <v>45352</v>
      </c>
      <c r="D22" t="inlineStr">
        <is>
          <t>Mariam Saeed</t>
        </is>
      </c>
      <c r="E22" t="n">
        <v>210</v>
      </c>
      <c r="F22" t="n">
        <v>2025</v>
      </c>
      <c r="G22" t="n">
        <v>2016</v>
      </c>
      <c r="H22" s="23" t="n">
        <v>425250</v>
      </c>
      <c r="I22" s="23" t="n">
        <v>423360</v>
      </c>
      <c r="J22" t="inlineStr">
        <is>
          <t>Mar</t>
        </is>
      </c>
      <c r="K22" t="n">
        <v>3</v>
      </c>
      <c r="L22" t="inlineStr">
        <is>
          <t>Q1</t>
        </is>
      </c>
      <c r="M22" t="n">
        <v>2024</v>
      </c>
      <c r="N22" s="22" t="n">
        <v>45352</v>
      </c>
      <c r="O22" s="24" t="n">
        <v>1.004464285714286</v>
      </c>
      <c r="P22" s="23" t="n">
        <v>1890</v>
      </c>
    </row>
    <row r="23">
      <c r="A23" t="inlineStr">
        <is>
          <t>Augmentin 625 MG</t>
        </is>
      </c>
      <c r="B23" t="inlineStr">
        <is>
          <t>Ismailia</t>
        </is>
      </c>
      <c r="C23" s="22" t="n">
        <v>45352</v>
      </c>
      <c r="D23" t="inlineStr">
        <is>
          <t>Mariam Saeed</t>
        </is>
      </c>
      <c r="E23" t="n">
        <v>117</v>
      </c>
      <c r="F23" t="n">
        <v>2011</v>
      </c>
      <c r="G23" t="n">
        <v>2321</v>
      </c>
      <c r="H23" s="23" t="n">
        <v>235287</v>
      </c>
      <c r="I23" s="23" t="n">
        <v>271557</v>
      </c>
      <c r="J23" t="inlineStr">
        <is>
          <t>Mar</t>
        </is>
      </c>
      <c r="K23" t="n">
        <v>3</v>
      </c>
      <c r="L23" t="inlineStr">
        <is>
          <t>Q1</t>
        </is>
      </c>
      <c r="M23" t="n">
        <v>2024</v>
      </c>
      <c r="N23" s="22" t="n">
        <v>45352</v>
      </c>
      <c r="O23" s="24" t="n">
        <v>0.8664368806548901</v>
      </c>
      <c r="P23" s="23" t="n">
        <v>-36270</v>
      </c>
    </row>
    <row r="24">
      <c r="A24" t="inlineStr">
        <is>
          <t>Cataflam 50 MG</t>
        </is>
      </c>
      <c r="B24" t="inlineStr">
        <is>
          <t>Ismailia</t>
        </is>
      </c>
      <c r="C24" s="22" t="n">
        <v>45352</v>
      </c>
      <c r="D24" t="inlineStr">
        <is>
          <t>Mariam Saeed</t>
        </is>
      </c>
      <c r="E24" t="n">
        <v>86</v>
      </c>
      <c r="F24" t="n">
        <v>2583</v>
      </c>
      <c r="G24" t="n">
        <v>2517</v>
      </c>
      <c r="H24" s="23" t="n">
        <v>222138</v>
      </c>
      <c r="I24" s="23" t="n">
        <v>216462</v>
      </c>
      <c r="J24" t="inlineStr">
        <is>
          <t>Mar</t>
        </is>
      </c>
      <c r="K24" t="n">
        <v>3</v>
      </c>
      <c r="L24" t="inlineStr">
        <is>
          <t>Q1</t>
        </is>
      </c>
      <c r="M24" t="n">
        <v>2024</v>
      </c>
      <c r="N24" s="22" t="n">
        <v>45352</v>
      </c>
      <c r="O24" s="24" t="n">
        <v>1.026221692491061</v>
      </c>
      <c r="P24" s="23" t="n">
        <v>5676</v>
      </c>
    </row>
    <row r="25">
      <c r="A25" t="inlineStr">
        <is>
          <t>Cataflam 25 MG</t>
        </is>
      </c>
      <c r="B25" t="inlineStr">
        <is>
          <t>Ismailia</t>
        </is>
      </c>
      <c r="C25" s="22" t="n">
        <v>45352</v>
      </c>
      <c r="D25" t="inlineStr">
        <is>
          <t>Mariam Saeed</t>
        </is>
      </c>
      <c r="E25" t="n">
        <v>34</v>
      </c>
      <c r="F25" t="n">
        <v>3542</v>
      </c>
      <c r="G25" t="n">
        <v>3593</v>
      </c>
      <c r="H25" s="23" t="n">
        <v>120428</v>
      </c>
      <c r="I25" s="23" t="n">
        <v>122162</v>
      </c>
      <c r="J25" t="inlineStr">
        <is>
          <t>Mar</t>
        </is>
      </c>
      <c r="K25" t="n">
        <v>3</v>
      </c>
      <c r="L25" t="inlineStr">
        <is>
          <t>Q1</t>
        </is>
      </c>
      <c r="M25" t="n">
        <v>2024</v>
      </c>
      <c r="N25" s="22" t="n">
        <v>45352</v>
      </c>
      <c r="O25" s="24" t="n">
        <v>0.9858057333704425</v>
      </c>
      <c r="P25" s="23" t="n">
        <v>-1734</v>
      </c>
    </row>
    <row r="26">
      <c r="A26" t="inlineStr">
        <is>
          <t>Concor 10 MG</t>
        </is>
      </c>
      <c r="B26" t="inlineStr">
        <is>
          <t>Ismailia</t>
        </is>
      </c>
      <c r="C26" s="22" t="n">
        <v>45352</v>
      </c>
      <c r="D26" t="inlineStr">
        <is>
          <t>Mariam Saeed</t>
        </is>
      </c>
      <c r="E26" t="n">
        <v>99</v>
      </c>
      <c r="F26" t="n">
        <v>3286</v>
      </c>
      <c r="G26" t="n">
        <v>3348</v>
      </c>
      <c r="H26" s="23" t="n">
        <v>325314</v>
      </c>
      <c r="I26" s="23" t="n">
        <v>331452</v>
      </c>
      <c r="J26" t="inlineStr">
        <is>
          <t>Mar</t>
        </is>
      </c>
      <c r="K26" t="n">
        <v>3</v>
      </c>
      <c r="L26" t="inlineStr">
        <is>
          <t>Q1</t>
        </is>
      </c>
      <c r="M26" t="n">
        <v>2024</v>
      </c>
      <c r="N26" s="22" t="n">
        <v>45352</v>
      </c>
      <c r="O26" s="24" t="n">
        <v>0.9814814814814815</v>
      </c>
      <c r="P26" s="23" t="n">
        <v>-6138</v>
      </c>
    </row>
    <row r="27">
      <c r="A27" t="inlineStr">
        <is>
          <t>Concor 5 MG</t>
        </is>
      </c>
      <c r="B27" t="inlineStr">
        <is>
          <t>Ismailia</t>
        </is>
      </c>
      <c r="C27" s="22" t="n">
        <v>45352</v>
      </c>
      <c r="D27" t="inlineStr">
        <is>
          <t>Mariam Saeed</t>
        </is>
      </c>
      <c r="E27" t="n">
        <v>72</v>
      </c>
      <c r="F27" t="n">
        <v>3171</v>
      </c>
      <c r="G27" t="n">
        <v>3435</v>
      </c>
      <c r="H27" s="23" t="n">
        <v>228312</v>
      </c>
      <c r="I27" s="23" t="n">
        <v>247320</v>
      </c>
      <c r="J27" t="inlineStr">
        <is>
          <t>Mar</t>
        </is>
      </c>
      <c r="K27" t="n">
        <v>3</v>
      </c>
      <c r="L27" t="inlineStr">
        <is>
          <t>Q1</t>
        </is>
      </c>
      <c r="M27" t="n">
        <v>2024</v>
      </c>
      <c r="N27" s="22" t="n">
        <v>45352</v>
      </c>
      <c r="O27" s="24" t="n">
        <v>0.9231441048034934</v>
      </c>
      <c r="P27" s="23" t="n">
        <v>-19008</v>
      </c>
    </row>
    <row r="28">
      <c r="A28" t="inlineStr">
        <is>
          <t>Glucophage 1000 MG</t>
        </is>
      </c>
      <c r="B28" t="inlineStr">
        <is>
          <t>Ismailia</t>
        </is>
      </c>
      <c r="C28" s="22" t="n">
        <v>45352</v>
      </c>
      <c r="D28" t="inlineStr">
        <is>
          <t>Mariam Saeed</t>
        </is>
      </c>
      <c r="E28" t="n">
        <v>126</v>
      </c>
      <c r="F28" t="n">
        <v>3337</v>
      </c>
      <c r="G28" t="n">
        <v>3341</v>
      </c>
      <c r="H28" s="23" t="n">
        <v>420462</v>
      </c>
      <c r="I28" s="23" t="n">
        <v>420966</v>
      </c>
      <c r="J28" t="inlineStr">
        <is>
          <t>Mar</t>
        </is>
      </c>
      <c r="K28" t="n">
        <v>3</v>
      </c>
      <c r="L28" t="inlineStr">
        <is>
          <t>Q1</t>
        </is>
      </c>
      <c r="M28" t="n">
        <v>2024</v>
      </c>
      <c r="N28" s="22" t="n">
        <v>45352</v>
      </c>
      <c r="O28" s="24" t="n">
        <v>0.9988027536665669</v>
      </c>
      <c r="P28" s="23" t="n">
        <v>-504</v>
      </c>
    </row>
    <row r="29">
      <c r="A29" t="inlineStr">
        <is>
          <t>Glucophage 500 MG</t>
        </is>
      </c>
      <c r="B29" t="inlineStr">
        <is>
          <t>Ismailia</t>
        </is>
      </c>
      <c r="C29" s="22" t="n">
        <v>45352</v>
      </c>
      <c r="D29" t="inlineStr">
        <is>
          <t>Mariam Saeed</t>
        </is>
      </c>
      <c r="E29" t="n">
        <v>77</v>
      </c>
      <c r="F29" t="n">
        <v>2296</v>
      </c>
      <c r="G29" t="n">
        <v>2680</v>
      </c>
      <c r="H29" s="23" t="n">
        <v>176792</v>
      </c>
      <c r="I29" s="23" t="n">
        <v>206360</v>
      </c>
      <c r="J29" t="inlineStr">
        <is>
          <t>Mar</t>
        </is>
      </c>
      <c r="K29" t="n">
        <v>3</v>
      </c>
      <c r="L29" t="inlineStr">
        <is>
          <t>Q1</t>
        </is>
      </c>
      <c r="M29" t="n">
        <v>2024</v>
      </c>
      <c r="N29" s="22" t="n">
        <v>45352</v>
      </c>
      <c r="O29" s="24" t="n">
        <v>0.8567164179104477</v>
      </c>
      <c r="P29" s="23" t="n">
        <v>-29568</v>
      </c>
    </row>
    <row r="30">
      <c r="A30" t="inlineStr">
        <is>
          <t>Panadol 500 MG</t>
        </is>
      </c>
      <c r="B30" t="inlineStr">
        <is>
          <t>Ismailia</t>
        </is>
      </c>
      <c r="C30" s="22" t="n">
        <v>45352</v>
      </c>
      <c r="D30" t="inlineStr">
        <is>
          <t>Mariam Saeed</t>
        </is>
      </c>
      <c r="E30" t="n">
        <v>75</v>
      </c>
      <c r="F30" t="n">
        <v>3454</v>
      </c>
      <c r="G30" t="n">
        <v>3125</v>
      </c>
      <c r="H30" s="23" t="n">
        <v>259050</v>
      </c>
      <c r="I30" s="23" t="n">
        <v>234375</v>
      </c>
      <c r="J30" t="inlineStr">
        <is>
          <t>Mar</t>
        </is>
      </c>
      <c r="K30" t="n">
        <v>3</v>
      </c>
      <c r="L30" t="inlineStr">
        <is>
          <t>Q1</t>
        </is>
      </c>
      <c r="M30" t="n">
        <v>2024</v>
      </c>
      <c r="N30" s="22" t="n">
        <v>45352</v>
      </c>
      <c r="O30" s="24" t="n">
        <v>1.10528</v>
      </c>
      <c r="P30" s="23" t="n">
        <v>24675</v>
      </c>
    </row>
    <row r="31">
      <c r="A31" t="inlineStr">
        <is>
          <t>Panadol 250 MG</t>
        </is>
      </c>
      <c r="B31" t="inlineStr">
        <is>
          <t>Ismailia</t>
        </is>
      </c>
      <c r="C31" s="22" t="n">
        <v>45352</v>
      </c>
      <c r="D31" t="inlineStr">
        <is>
          <t>Mariam Saeed</t>
        </is>
      </c>
      <c r="E31" t="n">
        <v>45</v>
      </c>
      <c r="F31" t="n">
        <v>3209</v>
      </c>
      <c r="G31" t="n">
        <v>3105</v>
      </c>
      <c r="H31" s="23" t="n">
        <v>144405</v>
      </c>
      <c r="I31" s="23" t="n">
        <v>139725</v>
      </c>
      <c r="J31" t="inlineStr">
        <is>
          <t>Mar</t>
        </is>
      </c>
      <c r="K31" t="n">
        <v>3</v>
      </c>
      <c r="L31" t="inlineStr">
        <is>
          <t>Q1</t>
        </is>
      </c>
      <c r="M31" t="n">
        <v>2024</v>
      </c>
      <c r="N31" s="22" t="n">
        <v>45352</v>
      </c>
      <c r="O31" s="24" t="n">
        <v>1.033494363929147</v>
      </c>
      <c r="P31" s="23" t="n">
        <v>4680</v>
      </c>
    </row>
    <row r="32">
      <c r="A32" t="inlineStr">
        <is>
          <t>Augmentin 1000 MG</t>
        </is>
      </c>
      <c r="B32" t="inlineStr">
        <is>
          <t>Ismailia</t>
        </is>
      </c>
      <c r="C32" s="22" t="n">
        <v>45383</v>
      </c>
      <c r="D32" t="inlineStr">
        <is>
          <t>Mariam Saeed</t>
        </is>
      </c>
      <c r="E32" t="n">
        <v>210</v>
      </c>
      <c r="F32" t="n">
        <v>3176</v>
      </c>
      <c r="G32" t="n">
        <v>3537</v>
      </c>
      <c r="H32" s="23" t="n">
        <v>666960</v>
      </c>
      <c r="I32" s="23" t="n">
        <v>742770</v>
      </c>
      <c r="J32" t="inlineStr">
        <is>
          <t>Apr</t>
        </is>
      </c>
      <c r="K32" t="n">
        <v>4</v>
      </c>
      <c r="L32" t="inlineStr">
        <is>
          <t>Q2</t>
        </is>
      </c>
      <c r="M32" t="n">
        <v>2024</v>
      </c>
      <c r="N32" s="22" t="n">
        <v>45383</v>
      </c>
      <c r="O32" s="24" t="n">
        <v>0.8979361040429743</v>
      </c>
      <c r="P32" s="23" t="n">
        <v>-75810</v>
      </c>
    </row>
    <row r="33">
      <c r="A33" t="inlineStr">
        <is>
          <t>Augmentin 625 MG</t>
        </is>
      </c>
      <c r="B33" t="inlineStr">
        <is>
          <t>Ismailia</t>
        </is>
      </c>
      <c r="C33" s="22" t="n">
        <v>45383</v>
      </c>
      <c r="D33" t="inlineStr">
        <is>
          <t>Mariam Saeed</t>
        </is>
      </c>
      <c r="E33" t="n">
        <v>117</v>
      </c>
      <c r="F33" t="n">
        <v>2354</v>
      </c>
      <c r="G33" t="n">
        <v>3659</v>
      </c>
      <c r="H33" s="23" t="n">
        <v>275418</v>
      </c>
      <c r="I33" s="23" t="n">
        <v>428103</v>
      </c>
      <c r="J33" t="inlineStr">
        <is>
          <t>Apr</t>
        </is>
      </c>
      <c r="K33" t="n">
        <v>4</v>
      </c>
      <c r="L33" t="inlineStr">
        <is>
          <t>Q2</t>
        </is>
      </c>
      <c r="M33" t="n">
        <v>2024</v>
      </c>
      <c r="N33" s="22" t="n">
        <v>45383</v>
      </c>
      <c r="O33" s="24" t="n">
        <v>0.6433451762776715</v>
      </c>
      <c r="P33" s="23" t="n">
        <v>-152685</v>
      </c>
    </row>
    <row r="34">
      <c r="A34" t="inlineStr">
        <is>
          <t>Cataflam 50 MG</t>
        </is>
      </c>
      <c r="B34" t="inlineStr">
        <is>
          <t>Ismailia</t>
        </is>
      </c>
      <c r="C34" s="22" t="n">
        <v>45383</v>
      </c>
      <c r="D34" t="inlineStr">
        <is>
          <t>Mariam Saeed</t>
        </is>
      </c>
      <c r="E34" t="n">
        <v>86</v>
      </c>
      <c r="F34" t="n">
        <v>3275</v>
      </c>
      <c r="G34" t="n">
        <v>3815</v>
      </c>
      <c r="H34" s="23" t="n">
        <v>281650</v>
      </c>
      <c r="I34" s="23" t="n">
        <v>328090</v>
      </c>
      <c r="J34" t="inlineStr">
        <is>
          <t>Apr</t>
        </is>
      </c>
      <c r="K34" t="n">
        <v>4</v>
      </c>
      <c r="L34" t="inlineStr">
        <is>
          <t>Q2</t>
        </is>
      </c>
      <c r="M34" t="n">
        <v>2024</v>
      </c>
      <c r="N34" s="22" t="n">
        <v>45383</v>
      </c>
      <c r="O34" s="24" t="n">
        <v>0.8584534731323722</v>
      </c>
      <c r="P34" s="23" t="n">
        <v>-46440</v>
      </c>
    </row>
    <row r="35">
      <c r="A35" t="inlineStr">
        <is>
          <t>Cataflam 25 MG</t>
        </is>
      </c>
      <c r="B35" t="inlineStr">
        <is>
          <t>Ismailia</t>
        </is>
      </c>
      <c r="C35" s="22" t="n">
        <v>45383</v>
      </c>
      <c r="D35" t="inlineStr">
        <is>
          <t>Mariam Saeed</t>
        </is>
      </c>
      <c r="E35" t="n">
        <v>34</v>
      </c>
      <c r="F35" t="n">
        <v>2832</v>
      </c>
      <c r="G35" t="n">
        <v>2585</v>
      </c>
      <c r="H35" s="23" t="n">
        <v>96288</v>
      </c>
      <c r="I35" s="23" t="n">
        <v>87890</v>
      </c>
      <c r="J35" t="inlineStr">
        <is>
          <t>Apr</t>
        </is>
      </c>
      <c r="K35" t="n">
        <v>4</v>
      </c>
      <c r="L35" t="inlineStr">
        <is>
          <t>Q2</t>
        </is>
      </c>
      <c r="M35" t="n">
        <v>2024</v>
      </c>
      <c r="N35" s="22" t="n">
        <v>45383</v>
      </c>
      <c r="O35" s="24" t="n">
        <v>1.095551257253385</v>
      </c>
      <c r="P35" s="23" t="n">
        <v>8398</v>
      </c>
    </row>
    <row r="36">
      <c r="A36" t="inlineStr">
        <is>
          <t>Concor 10 MG</t>
        </is>
      </c>
      <c r="B36" t="inlineStr">
        <is>
          <t>Ismailia</t>
        </is>
      </c>
      <c r="C36" s="22" t="n">
        <v>45383</v>
      </c>
      <c r="D36" t="inlineStr">
        <is>
          <t>Mariam Saeed</t>
        </is>
      </c>
      <c r="E36" t="n">
        <v>99</v>
      </c>
      <c r="F36" t="n">
        <v>2309</v>
      </c>
      <c r="G36" t="n">
        <v>2165</v>
      </c>
      <c r="H36" s="23" t="n">
        <v>228591</v>
      </c>
      <c r="I36" s="23" t="n">
        <v>214335</v>
      </c>
      <c r="J36" t="inlineStr">
        <is>
          <t>Apr</t>
        </is>
      </c>
      <c r="K36" t="n">
        <v>4</v>
      </c>
      <c r="L36" t="inlineStr">
        <is>
          <t>Q2</t>
        </is>
      </c>
      <c r="M36" t="n">
        <v>2024</v>
      </c>
      <c r="N36" s="22" t="n">
        <v>45383</v>
      </c>
      <c r="O36" s="24" t="n">
        <v>1.066512702078522</v>
      </c>
      <c r="P36" s="23" t="n">
        <v>14256</v>
      </c>
    </row>
    <row r="37">
      <c r="A37" t="inlineStr">
        <is>
          <t>Concor 5 MG</t>
        </is>
      </c>
      <c r="B37" t="inlineStr">
        <is>
          <t>Ismailia</t>
        </is>
      </c>
      <c r="C37" s="22" t="n">
        <v>45383</v>
      </c>
      <c r="D37" t="inlineStr">
        <is>
          <t>Mariam Saeed</t>
        </is>
      </c>
      <c r="E37" t="n">
        <v>72</v>
      </c>
      <c r="F37" t="n">
        <v>2011</v>
      </c>
      <c r="G37" t="n">
        <v>2021</v>
      </c>
      <c r="H37" s="23" t="n">
        <v>144792</v>
      </c>
      <c r="I37" s="23" t="n">
        <v>145512</v>
      </c>
      <c r="J37" t="inlineStr">
        <is>
          <t>Apr</t>
        </is>
      </c>
      <c r="K37" t="n">
        <v>4</v>
      </c>
      <c r="L37" t="inlineStr">
        <is>
          <t>Q2</t>
        </is>
      </c>
      <c r="M37" t="n">
        <v>2024</v>
      </c>
      <c r="N37" s="22" t="n">
        <v>45383</v>
      </c>
      <c r="O37" s="24" t="n">
        <v>0.9950519544779812</v>
      </c>
      <c r="P37" s="23" t="n">
        <v>-720</v>
      </c>
    </row>
    <row r="38">
      <c r="A38" t="inlineStr">
        <is>
          <t>Glucophage 1000 MG</t>
        </is>
      </c>
      <c r="B38" t="inlineStr">
        <is>
          <t>Ismailia</t>
        </is>
      </c>
      <c r="C38" s="22" t="n">
        <v>45383</v>
      </c>
      <c r="D38" t="inlineStr">
        <is>
          <t>Mariam Saeed</t>
        </is>
      </c>
      <c r="E38" t="n">
        <v>126</v>
      </c>
      <c r="F38" t="n">
        <v>1890</v>
      </c>
      <c r="G38" t="n">
        <v>2153</v>
      </c>
      <c r="H38" s="23" t="n">
        <v>238140</v>
      </c>
      <c r="I38" s="23" t="n">
        <v>271278</v>
      </c>
      <c r="J38" t="inlineStr">
        <is>
          <t>Apr</t>
        </is>
      </c>
      <c r="K38" t="n">
        <v>4</v>
      </c>
      <c r="L38" t="inlineStr">
        <is>
          <t>Q2</t>
        </is>
      </c>
      <c r="M38" t="n">
        <v>2024</v>
      </c>
      <c r="N38" s="22" t="n">
        <v>45383</v>
      </c>
      <c r="O38" s="24" t="n">
        <v>0.8778448676265675</v>
      </c>
      <c r="P38" s="23" t="n">
        <v>-33138</v>
      </c>
    </row>
    <row r="39">
      <c r="A39" t="inlineStr">
        <is>
          <t>Glucophage 500 MG</t>
        </is>
      </c>
      <c r="B39" t="inlineStr">
        <is>
          <t>Ismailia</t>
        </is>
      </c>
      <c r="C39" s="22" t="n">
        <v>45383</v>
      </c>
      <c r="D39" t="inlineStr">
        <is>
          <t>Mariam Saeed</t>
        </is>
      </c>
      <c r="E39" t="n">
        <v>77</v>
      </c>
      <c r="F39" t="n">
        <v>3581</v>
      </c>
      <c r="G39" t="n">
        <v>3125</v>
      </c>
      <c r="H39" s="23" t="n">
        <v>275737</v>
      </c>
      <c r="I39" s="23" t="n">
        <v>240625</v>
      </c>
      <c r="J39" t="inlineStr">
        <is>
          <t>Apr</t>
        </is>
      </c>
      <c r="K39" t="n">
        <v>4</v>
      </c>
      <c r="L39" t="inlineStr">
        <is>
          <t>Q2</t>
        </is>
      </c>
      <c r="M39" t="n">
        <v>2024</v>
      </c>
      <c r="N39" s="22" t="n">
        <v>45383</v>
      </c>
      <c r="O39" s="24" t="n">
        <v>1.14592</v>
      </c>
      <c r="P39" s="23" t="n">
        <v>35112</v>
      </c>
    </row>
    <row r="40">
      <c r="A40" t="inlineStr">
        <is>
          <t>Panadol 500 MG</t>
        </is>
      </c>
      <c r="B40" t="inlineStr">
        <is>
          <t>Ismailia</t>
        </is>
      </c>
      <c r="C40" s="22" t="n">
        <v>45383</v>
      </c>
      <c r="D40" t="inlineStr">
        <is>
          <t>Mariam Saeed</t>
        </is>
      </c>
      <c r="E40" t="n">
        <v>75</v>
      </c>
      <c r="F40" t="n">
        <v>3185</v>
      </c>
      <c r="G40" t="n">
        <v>3462</v>
      </c>
      <c r="H40" s="23" t="n">
        <v>238875</v>
      </c>
      <c r="I40" s="23" t="n">
        <v>259650</v>
      </c>
      <c r="J40" t="inlineStr">
        <is>
          <t>Apr</t>
        </is>
      </c>
      <c r="K40" t="n">
        <v>4</v>
      </c>
      <c r="L40" t="inlineStr">
        <is>
          <t>Q2</t>
        </is>
      </c>
      <c r="M40" t="n">
        <v>2024</v>
      </c>
      <c r="N40" s="22" t="n">
        <v>45383</v>
      </c>
      <c r="O40" s="24" t="n">
        <v>0.9199884459849798</v>
      </c>
      <c r="P40" s="23" t="n">
        <v>-20775</v>
      </c>
    </row>
    <row r="41">
      <c r="A41" t="inlineStr">
        <is>
          <t>Panadol 250 MG</t>
        </is>
      </c>
      <c r="B41" t="inlineStr">
        <is>
          <t>Ismailia</t>
        </is>
      </c>
      <c r="C41" s="22" t="n">
        <v>45383</v>
      </c>
      <c r="D41" t="inlineStr">
        <is>
          <t>Mariam Saeed</t>
        </is>
      </c>
      <c r="E41" t="n">
        <v>45</v>
      </c>
      <c r="F41" t="n">
        <v>3020</v>
      </c>
      <c r="G41" t="n">
        <v>3318</v>
      </c>
      <c r="H41" s="23" t="n">
        <v>135900</v>
      </c>
      <c r="I41" s="23" t="n">
        <v>149310</v>
      </c>
      <c r="J41" t="inlineStr">
        <is>
          <t>Apr</t>
        </is>
      </c>
      <c r="K41" t="n">
        <v>4</v>
      </c>
      <c r="L41" t="inlineStr">
        <is>
          <t>Q2</t>
        </is>
      </c>
      <c r="M41" t="n">
        <v>2024</v>
      </c>
      <c r="N41" s="22" t="n">
        <v>45383</v>
      </c>
      <c r="O41" s="24" t="n">
        <v>0.9101868595539482</v>
      </c>
      <c r="P41" s="23" t="n">
        <v>-13410</v>
      </c>
    </row>
    <row r="42">
      <c r="A42" t="inlineStr">
        <is>
          <t>Augmentin 1000 MG</t>
        </is>
      </c>
      <c r="B42" t="inlineStr">
        <is>
          <t>Ismailia</t>
        </is>
      </c>
      <c r="C42" s="22" t="n">
        <v>45413</v>
      </c>
      <c r="D42" t="inlineStr">
        <is>
          <t>Mariam Saeed</t>
        </is>
      </c>
      <c r="E42" t="n">
        <v>210</v>
      </c>
      <c r="F42" t="n">
        <v>3371</v>
      </c>
      <c r="G42" t="n">
        <v>3332</v>
      </c>
      <c r="H42" s="23" t="n">
        <v>707910</v>
      </c>
      <c r="I42" s="23" t="n">
        <v>699720</v>
      </c>
      <c r="J42" t="inlineStr">
        <is>
          <t>May</t>
        </is>
      </c>
      <c r="K42" t="n">
        <v>5</v>
      </c>
      <c r="L42" t="inlineStr">
        <is>
          <t>Q2</t>
        </is>
      </c>
      <c r="M42" t="n">
        <v>2024</v>
      </c>
      <c r="N42" s="22" t="n">
        <v>45413</v>
      </c>
      <c r="O42" s="24" t="n">
        <v>1.011704681872749</v>
      </c>
      <c r="P42" s="23" t="n">
        <v>8190</v>
      </c>
    </row>
    <row r="43">
      <c r="A43" t="inlineStr">
        <is>
          <t>Augmentin 625 MG</t>
        </is>
      </c>
      <c r="B43" t="inlineStr">
        <is>
          <t>Ismailia</t>
        </is>
      </c>
      <c r="C43" s="22" t="n">
        <v>45413</v>
      </c>
      <c r="D43" t="inlineStr">
        <is>
          <t>Mariam Saeed</t>
        </is>
      </c>
      <c r="E43" t="n">
        <v>117</v>
      </c>
      <c r="F43" t="n">
        <v>2769</v>
      </c>
      <c r="G43" t="n">
        <v>2801</v>
      </c>
      <c r="H43" s="23" t="n">
        <v>323973</v>
      </c>
      <c r="I43" s="23" t="n">
        <v>327717</v>
      </c>
      <c r="J43" t="inlineStr">
        <is>
          <t>May</t>
        </is>
      </c>
      <c r="K43" t="n">
        <v>5</v>
      </c>
      <c r="L43" t="inlineStr">
        <is>
          <t>Q2</t>
        </is>
      </c>
      <c r="M43" t="n">
        <v>2024</v>
      </c>
      <c r="N43" s="22" t="n">
        <v>45413</v>
      </c>
      <c r="O43" s="24" t="n">
        <v>0.9885755087468762</v>
      </c>
      <c r="P43" s="23" t="n">
        <v>-3744</v>
      </c>
    </row>
    <row r="44">
      <c r="A44" t="inlineStr">
        <is>
          <t>Cataflam 50 MG</t>
        </is>
      </c>
      <c r="B44" t="inlineStr">
        <is>
          <t>Ismailia</t>
        </is>
      </c>
      <c r="C44" s="22" t="n">
        <v>45413</v>
      </c>
      <c r="D44" t="inlineStr">
        <is>
          <t>Mariam Saeed</t>
        </is>
      </c>
      <c r="E44" t="n">
        <v>86</v>
      </c>
      <c r="F44" t="n">
        <v>2966</v>
      </c>
      <c r="G44" t="n">
        <v>2917</v>
      </c>
      <c r="H44" s="23" t="n">
        <v>255076</v>
      </c>
      <c r="I44" s="23" t="n">
        <v>250862</v>
      </c>
      <c r="J44" t="inlineStr">
        <is>
          <t>May</t>
        </is>
      </c>
      <c r="K44" t="n">
        <v>5</v>
      </c>
      <c r="L44" t="inlineStr">
        <is>
          <t>Q2</t>
        </is>
      </c>
      <c r="M44" t="n">
        <v>2024</v>
      </c>
      <c r="N44" s="22" t="n">
        <v>45413</v>
      </c>
      <c r="O44" s="24" t="n">
        <v>1.016798080219403</v>
      </c>
      <c r="P44" s="23" t="n">
        <v>4214</v>
      </c>
    </row>
    <row r="45">
      <c r="A45" t="inlineStr">
        <is>
          <t>Cataflam 25 MG</t>
        </is>
      </c>
      <c r="B45" t="inlineStr">
        <is>
          <t>Ismailia</t>
        </is>
      </c>
      <c r="C45" s="22" t="n">
        <v>45413</v>
      </c>
      <c r="D45" t="inlineStr">
        <is>
          <t>Mariam Saeed</t>
        </is>
      </c>
      <c r="E45" t="n">
        <v>34</v>
      </c>
      <c r="F45" t="n">
        <v>2600</v>
      </c>
      <c r="G45" t="n">
        <v>3858</v>
      </c>
      <c r="H45" s="23" t="n">
        <v>88400</v>
      </c>
      <c r="I45" s="23" t="n">
        <v>131172</v>
      </c>
      <c r="J45" t="inlineStr">
        <is>
          <t>May</t>
        </is>
      </c>
      <c r="K45" t="n">
        <v>5</v>
      </c>
      <c r="L45" t="inlineStr">
        <is>
          <t>Q2</t>
        </is>
      </c>
      <c r="M45" t="n">
        <v>2024</v>
      </c>
      <c r="N45" s="22" t="n">
        <v>45413</v>
      </c>
      <c r="O45" s="24" t="n">
        <v>0.673924313115604</v>
      </c>
      <c r="P45" s="23" t="n">
        <v>-42772</v>
      </c>
    </row>
    <row r="46">
      <c r="A46" t="inlineStr">
        <is>
          <t>Concor 10 MG</t>
        </is>
      </c>
      <c r="B46" t="inlineStr">
        <is>
          <t>Ismailia</t>
        </is>
      </c>
      <c r="C46" s="22" t="n">
        <v>45413</v>
      </c>
      <c r="D46" t="inlineStr">
        <is>
          <t>Mariam Saeed</t>
        </is>
      </c>
      <c r="E46" t="n">
        <v>99</v>
      </c>
      <c r="F46" t="n">
        <v>3226</v>
      </c>
      <c r="G46" t="n">
        <v>3157</v>
      </c>
      <c r="H46" s="23" t="n">
        <v>319374</v>
      </c>
      <c r="I46" s="23" t="n">
        <v>312543</v>
      </c>
      <c r="J46" t="inlineStr">
        <is>
          <t>May</t>
        </is>
      </c>
      <c r="K46" t="n">
        <v>5</v>
      </c>
      <c r="L46" t="inlineStr">
        <is>
          <t>Q2</t>
        </is>
      </c>
      <c r="M46" t="n">
        <v>2024</v>
      </c>
      <c r="N46" s="22" t="n">
        <v>45413</v>
      </c>
      <c r="O46" s="24" t="n">
        <v>1.0218561925879</v>
      </c>
      <c r="P46" s="23" t="n">
        <v>6831</v>
      </c>
    </row>
    <row r="47">
      <c r="A47" t="inlineStr">
        <is>
          <t>Concor 5 MG</t>
        </is>
      </c>
      <c r="B47" t="inlineStr">
        <is>
          <t>Ismailia</t>
        </is>
      </c>
      <c r="C47" s="22" t="n">
        <v>45413</v>
      </c>
      <c r="D47" t="inlineStr">
        <is>
          <t>Mariam Saeed</t>
        </is>
      </c>
      <c r="E47" t="n">
        <v>72</v>
      </c>
      <c r="F47" t="n">
        <v>3480</v>
      </c>
      <c r="G47" t="n">
        <v>3742</v>
      </c>
      <c r="H47" s="23" t="n">
        <v>250560</v>
      </c>
      <c r="I47" s="23" t="n">
        <v>269424</v>
      </c>
      <c r="J47" t="inlineStr">
        <is>
          <t>May</t>
        </is>
      </c>
      <c r="K47" t="n">
        <v>5</v>
      </c>
      <c r="L47" t="inlineStr">
        <is>
          <t>Q2</t>
        </is>
      </c>
      <c r="M47" t="n">
        <v>2024</v>
      </c>
      <c r="N47" s="22" t="n">
        <v>45413</v>
      </c>
      <c r="O47" s="24" t="n">
        <v>0.9299839657936932</v>
      </c>
      <c r="P47" s="23" t="n">
        <v>-18864</v>
      </c>
    </row>
    <row r="48">
      <c r="A48" t="inlineStr">
        <is>
          <t>Glucophage 1000 MG</t>
        </is>
      </c>
      <c r="B48" t="inlineStr">
        <is>
          <t>Ismailia</t>
        </is>
      </c>
      <c r="C48" s="22" t="n">
        <v>45413</v>
      </c>
      <c r="D48" t="inlineStr">
        <is>
          <t>Mariam Saeed</t>
        </is>
      </c>
      <c r="E48" t="n">
        <v>126</v>
      </c>
      <c r="F48" t="n">
        <v>2974</v>
      </c>
      <c r="G48" t="n">
        <v>3306</v>
      </c>
      <c r="H48" s="23" t="n">
        <v>374724</v>
      </c>
      <c r="I48" s="23" t="n">
        <v>416556</v>
      </c>
      <c r="J48" t="inlineStr">
        <is>
          <t>May</t>
        </is>
      </c>
      <c r="K48" t="n">
        <v>5</v>
      </c>
      <c r="L48" t="inlineStr">
        <is>
          <t>Q2</t>
        </is>
      </c>
      <c r="M48" t="n">
        <v>2024</v>
      </c>
      <c r="N48" s="22" t="n">
        <v>45413</v>
      </c>
      <c r="O48" s="24" t="n">
        <v>0.8995765275257108</v>
      </c>
      <c r="P48" s="23" t="n">
        <v>-41832</v>
      </c>
    </row>
    <row r="49">
      <c r="A49" t="inlineStr">
        <is>
          <t>Glucophage 500 MG</t>
        </is>
      </c>
      <c r="B49" t="inlineStr">
        <is>
          <t>Ismailia</t>
        </is>
      </c>
      <c r="C49" s="22" t="n">
        <v>45413</v>
      </c>
      <c r="D49" t="inlineStr">
        <is>
          <t>Mariam Saeed</t>
        </is>
      </c>
      <c r="E49" t="n">
        <v>77</v>
      </c>
      <c r="F49" t="n">
        <v>2500</v>
      </c>
      <c r="G49" t="n">
        <v>3801</v>
      </c>
      <c r="H49" s="23" t="n">
        <v>192500</v>
      </c>
      <c r="I49" s="23" t="n">
        <v>292677</v>
      </c>
      <c r="J49" t="inlineStr">
        <is>
          <t>May</t>
        </is>
      </c>
      <c r="K49" t="n">
        <v>5</v>
      </c>
      <c r="L49" t="inlineStr">
        <is>
          <t>Q2</t>
        </is>
      </c>
      <c r="M49" t="n">
        <v>2024</v>
      </c>
      <c r="N49" s="22" t="n">
        <v>45413</v>
      </c>
      <c r="O49" s="24" t="n">
        <v>0.6577216521967904</v>
      </c>
      <c r="P49" s="23" t="n">
        <v>-100177</v>
      </c>
    </row>
    <row r="50">
      <c r="A50" t="inlineStr">
        <is>
          <t>Panadol 500 MG</t>
        </is>
      </c>
      <c r="B50" t="inlineStr">
        <is>
          <t>Ismailia</t>
        </is>
      </c>
      <c r="C50" s="22" t="n">
        <v>45413</v>
      </c>
      <c r="D50" t="inlineStr">
        <is>
          <t>Mariam Saeed</t>
        </is>
      </c>
      <c r="E50" t="n">
        <v>75</v>
      </c>
      <c r="F50" t="n">
        <v>1862</v>
      </c>
      <c r="G50" t="n">
        <v>2072</v>
      </c>
      <c r="H50" s="23" t="n">
        <v>139650</v>
      </c>
      <c r="I50" s="23" t="n">
        <v>155400</v>
      </c>
      <c r="J50" t="inlineStr">
        <is>
          <t>May</t>
        </is>
      </c>
      <c r="K50" t="n">
        <v>5</v>
      </c>
      <c r="L50" t="inlineStr">
        <is>
          <t>Q2</t>
        </is>
      </c>
      <c r="M50" t="n">
        <v>2024</v>
      </c>
      <c r="N50" s="22" t="n">
        <v>45413</v>
      </c>
      <c r="O50" s="24" t="n">
        <v>0.8986486486486487</v>
      </c>
      <c r="P50" s="23" t="n">
        <v>-15750</v>
      </c>
    </row>
    <row r="51">
      <c r="A51" t="inlineStr">
        <is>
          <t>Panadol 250 MG</t>
        </is>
      </c>
      <c r="B51" t="inlineStr">
        <is>
          <t>Ismailia</t>
        </is>
      </c>
      <c r="C51" s="22" t="n">
        <v>45413</v>
      </c>
      <c r="D51" t="inlineStr">
        <is>
          <t>Mariam Saeed</t>
        </is>
      </c>
      <c r="E51" t="n">
        <v>45</v>
      </c>
      <c r="F51" t="n">
        <v>2208</v>
      </c>
      <c r="G51" t="n">
        <v>2480</v>
      </c>
      <c r="H51" s="23" t="n">
        <v>99360</v>
      </c>
      <c r="I51" s="23" t="n">
        <v>111600</v>
      </c>
      <c r="J51" t="inlineStr">
        <is>
          <t>May</t>
        </is>
      </c>
      <c r="K51" t="n">
        <v>5</v>
      </c>
      <c r="L51" t="inlineStr">
        <is>
          <t>Q2</t>
        </is>
      </c>
      <c r="M51" t="n">
        <v>2024</v>
      </c>
      <c r="N51" s="22" t="n">
        <v>45413</v>
      </c>
      <c r="O51" s="24" t="n">
        <v>0.8903225806451613</v>
      </c>
      <c r="P51" s="23" t="n">
        <v>-12240</v>
      </c>
    </row>
    <row r="52">
      <c r="A52" t="inlineStr">
        <is>
          <t>Augmentin 1000 MG</t>
        </is>
      </c>
      <c r="B52" t="inlineStr">
        <is>
          <t>Ismailia</t>
        </is>
      </c>
      <c r="C52" s="22" t="n">
        <v>45444</v>
      </c>
      <c r="D52" t="inlineStr">
        <is>
          <t>Mariam Saeed</t>
        </is>
      </c>
      <c r="E52" t="n">
        <v>210</v>
      </c>
      <c r="F52" t="n">
        <v>2621</v>
      </c>
      <c r="G52" t="n">
        <v>2820</v>
      </c>
      <c r="H52" s="23" t="n">
        <v>550410</v>
      </c>
      <c r="I52" s="23" t="n">
        <v>592200</v>
      </c>
      <c r="J52" t="inlineStr">
        <is>
          <t>Jun</t>
        </is>
      </c>
      <c r="K52" t="n">
        <v>6</v>
      </c>
      <c r="L52" t="inlineStr">
        <is>
          <t>Q2</t>
        </is>
      </c>
      <c r="M52" t="n">
        <v>2024</v>
      </c>
      <c r="N52" s="22" t="n">
        <v>45444</v>
      </c>
      <c r="O52" s="24" t="n">
        <v>0.9294326241134752</v>
      </c>
      <c r="P52" s="23" t="n">
        <v>-41790</v>
      </c>
    </row>
    <row r="53">
      <c r="A53" t="inlineStr">
        <is>
          <t>Augmentin 625 MG</t>
        </is>
      </c>
      <c r="B53" t="inlineStr">
        <is>
          <t>Ismailia</t>
        </is>
      </c>
      <c r="C53" s="22" t="n">
        <v>45444</v>
      </c>
      <c r="D53" t="inlineStr">
        <is>
          <t>Mariam Saeed</t>
        </is>
      </c>
      <c r="E53" t="n">
        <v>117</v>
      </c>
      <c r="F53" t="n">
        <v>3405</v>
      </c>
      <c r="G53" t="n">
        <v>3102</v>
      </c>
      <c r="H53" s="23" t="n">
        <v>398385</v>
      </c>
      <c r="I53" s="23" t="n">
        <v>362934</v>
      </c>
      <c r="J53" t="inlineStr">
        <is>
          <t>Jun</t>
        </is>
      </c>
      <c r="K53" t="n">
        <v>6</v>
      </c>
      <c r="L53" t="inlineStr">
        <is>
          <t>Q2</t>
        </is>
      </c>
      <c r="M53" t="n">
        <v>2024</v>
      </c>
      <c r="N53" s="22" t="n">
        <v>45444</v>
      </c>
      <c r="O53" s="24" t="n">
        <v>1.097678916827853</v>
      </c>
      <c r="P53" s="23" t="n">
        <v>35451</v>
      </c>
    </row>
    <row r="54">
      <c r="A54" t="inlineStr">
        <is>
          <t>Cataflam 50 MG</t>
        </is>
      </c>
      <c r="B54" t="inlineStr">
        <is>
          <t>Ismailia</t>
        </is>
      </c>
      <c r="C54" s="22" t="n">
        <v>45444</v>
      </c>
      <c r="D54" t="inlineStr">
        <is>
          <t>Mariam Saeed</t>
        </is>
      </c>
      <c r="E54" t="n">
        <v>86</v>
      </c>
      <c r="F54" t="n">
        <v>3190</v>
      </c>
      <c r="G54" t="n">
        <v>3338</v>
      </c>
      <c r="H54" s="23" t="n">
        <v>274340</v>
      </c>
      <c r="I54" s="23" t="n">
        <v>287068</v>
      </c>
      <c r="J54" t="inlineStr">
        <is>
          <t>Jun</t>
        </is>
      </c>
      <c r="K54" t="n">
        <v>6</v>
      </c>
      <c r="L54" t="inlineStr">
        <is>
          <t>Q2</t>
        </is>
      </c>
      <c r="M54" t="n">
        <v>2024</v>
      </c>
      <c r="N54" s="22" t="n">
        <v>45444</v>
      </c>
      <c r="O54" s="24" t="n">
        <v>0.9556620730976633</v>
      </c>
      <c r="P54" s="23" t="n">
        <v>-12728</v>
      </c>
    </row>
    <row r="55">
      <c r="A55" t="inlineStr">
        <is>
          <t>Cataflam 25 MG</t>
        </is>
      </c>
      <c r="B55" t="inlineStr">
        <is>
          <t>Ismailia</t>
        </is>
      </c>
      <c r="C55" s="22" t="n">
        <v>45444</v>
      </c>
      <c r="D55" t="inlineStr">
        <is>
          <t>Mariam Saeed</t>
        </is>
      </c>
      <c r="E55" t="n">
        <v>34</v>
      </c>
      <c r="F55" t="n">
        <v>2349</v>
      </c>
      <c r="G55" t="n">
        <v>2661</v>
      </c>
      <c r="H55" s="23" t="n">
        <v>79866</v>
      </c>
      <c r="I55" s="23" t="n">
        <v>90474</v>
      </c>
      <c r="J55" t="inlineStr">
        <is>
          <t>Jun</t>
        </is>
      </c>
      <c r="K55" t="n">
        <v>6</v>
      </c>
      <c r="L55" t="inlineStr">
        <is>
          <t>Q2</t>
        </is>
      </c>
      <c r="M55" t="n">
        <v>2024</v>
      </c>
      <c r="N55" s="22" t="n">
        <v>45444</v>
      </c>
      <c r="O55" s="24" t="n">
        <v>0.882750845546787</v>
      </c>
      <c r="P55" s="23" t="n">
        <v>-10608</v>
      </c>
    </row>
    <row r="56">
      <c r="A56" t="inlineStr">
        <is>
          <t>Concor 10 MG</t>
        </is>
      </c>
      <c r="B56" t="inlineStr">
        <is>
          <t>Ismailia</t>
        </is>
      </c>
      <c r="C56" s="22" t="n">
        <v>45444</v>
      </c>
      <c r="D56" t="inlineStr">
        <is>
          <t>Mariam Saeed</t>
        </is>
      </c>
      <c r="E56" t="n">
        <v>99</v>
      </c>
      <c r="F56" t="n">
        <v>3218</v>
      </c>
      <c r="G56" t="n">
        <v>2946</v>
      </c>
      <c r="H56" s="23" t="n">
        <v>318582</v>
      </c>
      <c r="I56" s="23" t="n">
        <v>291654</v>
      </c>
      <c r="J56" t="inlineStr">
        <is>
          <t>Jun</t>
        </is>
      </c>
      <c r="K56" t="n">
        <v>6</v>
      </c>
      <c r="L56" t="inlineStr">
        <is>
          <t>Q2</t>
        </is>
      </c>
      <c r="M56" t="n">
        <v>2024</v>
      </c>
      <c r="N56" s="22" t="n">
        <v>45444</v>
      </c>
      <c r="O56" s="24" t="n">
        <v>1.092328581126952</v>
      </c>
      <c r="P56" s="23" t="n">
        <v>26928</v>
      </c>
    </row>
    <row r="57">
      <c r="A57" t="inlineStr">
        <is>
          <t>Concor 5 MG</t>
        </is>
      </c>
      <c r="B57" t="inlineStr">
        <is>
          <t>Ismailia</t>
        </is>
      </c>
      <c r="C57" s="22" t="n">
        <v>45444</v>
      </c>
      <c r="D57" t="inlineStr">
        <is>
          <t>Mariam Saeed</t>
        </is>
      </c>
      <c r="E57" t="n">
        <v>72</v>
      </c>
      <c r="F57" t="n">
        <v>2805</v>
      </c>
      <c r="G57" t="n">
        <v>2559</v>
      </c>
      <c r="H57" s="23" t="n">
        <v>201960</v>
      </c>
      <c r="I57" s="23" t="n">
        <v>184248</v>
      </c>
      <c r="J57" t="inlineStr">
        <is>
          <t>Jun</t>
        </is>
      </c>
      <c r="K57" t="n">
        <v>6</v>
      </c>
      <c r="L57" t="inlineStr">
        <is>
          <t>Q2</t>
        </is>
      </c>
      <c r="M57" t="n">
        <v>2024</v>
      </c>
      <c r="N57" s="22" t="n">
        <v>45444</v>
      </c>
      <c r="O57" s="24" t="n">
        <v>1.096131301289566</v>
      </c>
      <c r="P57" s="23" t="n">
        <v>17712</v>
      </c>
    </row>
    <row r="58">
      <c r="A58" t="inlineStr">
        <is>
          <t>Glucophage 1000 MG</t>
        </is>
      </c>
      <c r="B58" t="inlineStr">
        <is>
          <t>Ismailia</t>
        </is>
      </c>
      <c r="C58" s="22" t="n">
        <v>45444</v>
      </c>
      <c r="D58" t="inlineStr">
        <is>
          <t>Mariam Saeed</t>
        </is>
      </c>
      <c r="E58" t="n">
        <v>126</v>
      </c>
      <c r="F58" t="n">
        <v>2615</v>
      </c>
      <c r="G58" t="n">
        <v>2916</v>
      </c>
      <c r="H58" s="23" t="n">
        <v>329490</v>
      </c>
      <c r="I58" s="23" t="n">
        <v>367416</v>
      </c>
      <c r="J58" t="inlineStr">
        <is>
          <t>Jun</t>
        </is>
      </c>
      <c r="K58" t="n">
        <v>6</v>
      </c>
      <c r="L58" t="inlineStr">
        <is>
          <t>Q2</t>
        </is>
      </c>
      <c r="M58" t="n">
        <v>2024</v>
      </c>
      <c r="N58" s="22" t="n">
        <v>45444</v>
      </c>
      <c r="O58" s="24" t="n">
        <v>0.8967764060356653</v>
      </c>
      <c r="P58" s="23" t="n">
        <v>-37926</v>
      </c>
    </row>
    <row r="59">
      <c r="A59" t="inlineStr">
        <is>
          <t>Glucophage 500 MG</t>
        </is>
      </c>
      <c r="B59" t="inlineStr">
        <is>
          <t>Ismailia</t>
        </is>
      </c>
      <c r="C59" s="22" t="n">
        <v>45444</v>
      </c>
      <c r="D59" t="inlineStr">
        <is>
          <t>Mariam Saeed</t>
        </is>
      </c>
      <c r="E59" t="n">
        <v>77</v>
      </c>
      <c r="F59" t="n">
        <v>3081</v>
      </c>
      <c r="G59" t="n">
        <v>2890</v>
      </c>
      <c r="H59" s="23" t="n">
        <v>237237</v>
      </c>
      <c r="I59" s="23" t="n">
        <v>222530</v>
      </c>
      <c r="J59" t="inlineStr">
        <is>
          <t>Jun</t>
        </is>
      </c>
      <c r="K59" t="n">
        <v>6</v>
      </c>
      <c r="L59" t="inlineStr">
        <is>
          <t>Q2</t>
        </is>
      </c>
      <c r="M59" t="n">
        <v>2024</v>
      </c>
      <c r="N59" s="22" t="n">
        <v>45444</v>
      </c>
      <c r="O59" s="24" t="n">
        <v>1.066089965397924</v>
      </c>
      <c r="P59" s="23" t="n">
        <v>14707</v>
      </c>
    </row>
    <row r="60">
      <c r="A60" t="inlineStr">
        <is>
          <t>Panadol 500 MG</t>
        </is>
      </c>
      <c r="B60" t="inlineStr">
        <is>
          <t>Ismailia</t>
        </is>
      </c>
      <c r="C60" s="22" t="n">
        <v>45444</v>
      </c>
      <c r="D60" t="inlineStr">
        <is>
          <t>Mariam Saeed</t>
        </is>
      </c>
      <c r="E60" t="n">
        <v>75</v>
      </c>
      <c r="F60" t="n">
        <v>3100</v>
      </c>
      <c r="G60" t="n">
        <v>3271</v>
      </c>
      <c r="H60" s="23" t="n">
        <v>232500</v>
      </c>
      <c r="I60" s="23" t="n">
        <v>245325</v>
      </c>
      <c r="J60" t="inlineStr">
        <is>
          <t>Jun</t>
        </is>
      </c>
      <c r="K60" t="n">
        <v>6</v>
      </c>
      <c r="L60" t="inlineStr">
        <is>
          <t>Q2</t>
        </is>
      </c>
      <c r="M60" t="n">
        <v>2024</v>
      </c>
      <c r="N60" s="22" t="n">
        <v>45444</v>
      </c>
      <c r="O60" s="24" t="n">
        <v>0.9477224090492204</v>
      </c>
      <c r="P60" s="23" t="n">
        <v>-12825</v>
      </c>
    </row>
    <row r="61">
      <c r="A61" t="inlineStr">
        <is>
          <t>Panadol 250 MG</t>
        </is>
      </c>
      <c r="B61" t="inlineStr">
        <is>
          <t>Ismailia</t>
        </is>
      </c>
      <c r="C61" s="22" t="n">
        <v>45444</v>
      </c>
      <c r="D61" t="inlineStr">
        <is>
          <t>Mariam Saeed</t>
        </is>
      </c>
      <c r="E61" t="n">
        <v>45</v>
      </c>
      <c r="F61" t="n">
        <v>3605</v>
      </c>
      <c r="G61" t="n">
        <v>3813</v>
      </c>
      <c r="H61" s="23" t="n">
        <v>162225</v>
      </c>
      <c r="I61" s="23" t="n">
        <v>171585</v>
      </c>
      <c r="J61" t="inlineStr">
        <is>
          <t>Jun</t>
        </is>
      </c>
      <c r="K61" t="n">
        <v>6</v>
      </c>
      <c r="L61" t="inlineStr">
        <is>
          <t>Q2</t>
        </is>
      </c>
      <c r="M61" t="n">
        <v>2024</v>
      </c>
      <c r="N61" s="22" t="n">
        <v>45444</v>
      </c>
      <c r="O61" s="24" t="n">
        <v>0.9454497770784159</v>
      </c>
      <c r="P61" s="23" t="n">
        <v>-9360</v>
      </c>
    </row>
    <row r="62">
      <c r="A62" t="inlineStr">
        <is>
          <t>Augmentin 1000 MG</t>
        </is>
      </c>
      <c r="B62" t="inlineStr">
        <is>
          <t>Ismailia</t>
        </is>
      </c>
      <c r="C62" s="22" t="n">
        <v>45474</v>
      </c>
      <c r="D62" t="inlineStr">
        <is>
          <t>Mariam Saeed</t>
        </is>
      </c>
      <c r="E62" t="n">
        <v>210</v>
      </c>
      <c r="F62" t="n">
        <v>2400</v>
      </c>
      <c r="G62" t="n">
        <v>3673</v>
      </c>
      <c r="H62" s="23" t="n">
        <v>504000</v>
      </c>
      <c r="I62" s="23" t="n">
        <v>771330</v>
      </c>
      <c r="J62" t="inlineStr">
        <is>
          <t>Jul</t>
        </is>
      </c>
      <c r="K62" t="n">
        <v>7</v>
      </c>
      <c r="L62" t="inlineStr">
        <is>
          <t>Q3</t>
        </is>
      </c>
      <c r="M62" t="n">
        <v>2024</v>
      </c>
      <c r="N62" s="22" t="n">
        <v>45474</v>
      </c>
      <c r="O62" s="24" t="n">
        <v>0.6534168254832562</v>
      </c>
      <c r="P62" s="23" t="n">
        <v>-267330</v>
      </c>
    </row>
    <row r="63">
      <c r="A63" t="inlineStr">
        <is>
          <t>Augmentin 625 MG</t>
        </is>
      </c>
      <c r="B63" t="inlineStr">
        <is>
          <t>Ismailia</t>
        </is>
      </c>
      <c r="C63" s="22" t="n">
        <v>45474</v>
      </c>
      <c r="D63" t="inlineStr">
        <is>
          <t>Mariam Saeed</t>
        </is>
      </c>
      <c r="E63" t="n">
        <v>117</v>
      </c>
      <c r="F63" t="n">
        <v>2972</v>
      </c>
      <c r="G63" t="n">
        <v>3443</v>
      </c>
      <c r="H63" s="23" t="n">
        <v>347724</v>
      </c>
      <c r="I63" s="23" t="n">
        <v>402831</v>
      </c>
      <c r="J63" t="inlineStr">
        <is>
          <t>Jul</t>
        </is>
      </c>
      <c r="K63" t="n">
        <v>7</v>
      </c>
      <c r="L63" t="inlineStr">
        <is>
          <t>Q3</t>
        </is>
      </c>
      <c r="M63" t="n">
        <v>2024</v>
      </c>
      <c r="N63" s="22" t="n">
        <v>45474</v>
      </c>
      <c r="O63" s="24" t="n">
        <v>0.8632006970665118</v>
      </c>
      <c r="P63" s="23" t="n">
        <v>-55107</v>
      </c>
    </row>
    <row r="64">
      <c r="A64" t="inlineStr">
        <is>
          <t>Cataflam 50 MG</t>
        </is>
      </c>
      <c r="B64" t="inlineStr">
        <is>
          <t>Ismailia</t>
        </is>
      </c>
      <c r="C64" s="22" t="n">
        <v>45474</v>
      </c>
      <c r="D64" t="inlineStr">
        <is>
          <t>Mariam Saeed</t>
        </is>
      </c>
      <c r="E64" t="n">
        <v>86</v>
      </c>
      <c r="F64" t="n">
        <v>2741</v>
      </c>
      <c r="G64" t="n">
        <v>3096</v>
      </c>
      <c r="H64" s="23" t="n">
        <v>235726</v>
      </c>
      <c r="I64" s="23" t="n">
        <v>266256</v>
      </c>
      <c r="J64" t="inlineStr">
        <is>
          <t>Jul</t>
        </is>
      </c>
      <c r="K64" t="n">
        <v>7</v>
      </c>
      <c r="L64" t="inlineStr">
        <is>
          <t>Q3</t>
        </is>
      </c>
      <c r="M64" t="n">
        <v>2024</v>
      </c>
      <c r="N64" s="22" t="n">
        <v>45474</v>
      </c>
      <c r="O64" s="24" t="n">
        <v>0.8853359173126615</v>
      </c>
      <c r="P64" s="23" t="n">
        <v>-30530</v>
      </c>
    </row>
    <row r="65">
      <c r="A65" t="inlineStr">
        <is>
          <t>Cataflam 25 MG</t>
        </is>
      </c>
      <c r="B65" t="inlineStr">
        <is>
          <t>Ismailia</t>
        </is>
      </c>
      <c r="C65" s="22" t="n">
        <v>45474</v>
      </c>
      <c r="D65" t="inlineStr">
        <is>
          <t>Mariam Saeed</t>
        </is>
      </c>
      <c r="E65" t="n">
        <v>34</v>
      </c>
      <c r="F65" t="n">
        <v>3259</v>
      </c>
      <c r="G65" t="n">
        <v>3260</v>
      </c>
      <c r="H65" s="23" t="n">
        <v>110806</v>
      </c>
      <c r="I65" s="23" t="n">
        <v>110840</v>
      </c>
      <c r="J65" t="inlineStr">
        <is>
          <t>Jul</t>
        </is>
      </c>
      <c r="K65" t="n">
        <v>7</v>
      </c>
      <c r="L65" t="inlineStr">
        <is>
          <t>Q3</t>
        </is>
      </c>
      <c r="M65" t="n">
        <v>2024</v>
      </c>
      <c r="N65" s="22" t="n">
        <v>45474</v>
      </c>
      <c r="O65" s="24" t="n">
        <v>0.9996932515337423</v>
      </c>
      <c r="P65" s="23" t="n">
        <v>-34</v>
      </c>
    </row>
    <row r="66">
      <c r="A66" t="inlineStr">
        <is>
          <t>Concor 10 MG</t>
        </is>
      </c>
      <c r="B66" t="inlineStr">
        <is>
          <t>Ismailia</t>
        </is>
      </c>
      <c r="C66" s="22" t="n">
        <v>45474</v>
      </c>
      <c r="D66" t="inlineStr">
        <is>
          <t>Mariam Saeed</t>
        </is>
      </c>
      <c r="E66" t="n">
        <v>99</v>
      </c>
      <c r="F66" t="n">
        <v>2055</v>
      </c>
      <c r="G66" t="n">
        <v>2045</v>
      </c>
      <c r="H66" s="23" t="n">
        <v>203445</v>
      </c>
      <c r="I66" s="23" t="n">
        <v>202455</v>
      </c>
      <c r="J66" t="inlineStr">
        <is>
          <t>Jul</t>
        </is>
      </c>
      <c r="K66" t="n">
        <v>7</v>
      </c>
      <c r="L66" t="inlineStr">
        <is>
          <t>Q3</t>
        </is>
      </c>
      <c r="M66" t="n">
        <v>2024</v>
      </c>
      <c r="N66" s="22" t="n">
        <v>45474</v>
      </c>
      <c r="O66" s="24" t="n">
        <v>1.004889975550122</v>
      </c>
      <c r="P66" s="23" t="n">
        <v>990</v>
      </c>
    </row>
    <row r="67">
      <c r="A67" t="inlineStr">
        <is>
          <t>Concor 5 MG</t>
        </is>
      </c>
      <c r="B67" t="inlineStr">
        <is>
          <t>Ismailia</t>
        </is>
      </c>
      <c r="C67" s="22" t="n">
        <v>45474</v>
      </c>
      <c r="D67" t="inlineStr">
        <is>
          <t>Mariam Saeed</t>
        </is>
      </c>
      <c r="E67" t="n">
        <v>72</v>
      </c>
      <c r="F67" t="n">
        <v>2246</v>
      </c>
      <c r="G67" t="n">
        <v>2617</v>
      </c>
      <c r="H67" s="23" t="n">
        <v>161712</v>
      </c>
      <c r="I67" s="23" t="n">
        <v>188424</v>
      </c>
      <c r="J67" t="inlineStr">
        <is>
          <t>Jul</t>
        </is>
      </c>
      <c r="K67" t="n">
        <v>7</v>
      </c>
      <c r="L67" t="inlineStr">
        <is>
          <t>Q3</t>
        </is>
      </c>
      <c r="M67" t="n">
        <v>2024</v>
      </c>
      <c r="N67" s="22" t="n">
        <v>45474</v>
      </c>
      <c r="O67" s="24" t="n">
        <v>0.8582346197936569</v>
      </c>
      <c r="P67" s="23" t="n">
        <v>-26712</v>
      </c>
    </row>
    <row r="68">
      <c r="A68" t="inlineStr">
        <is>
          <t>Glucophage 1000 MG</t>
        </is>
      </c>
      <c r="B68" t="inlineStr">
        <is>
          <t>Ismailia</t>
        </is>
      </c>
      <c r="C68" s="22" t="n">
        <v>45474</v>
      </c>
      <c r="D68" t="inlineStr">
        <is>
          <t>Mariam Saeed</t>
        </is>
      </c>
      <c r="E68" t="n">
        <v>126</v>
      </c>
      <c r="F68" t="n">
        <v>2778</v>
      </c>
      <c r="G68" t="n">
        <v>2927</v>
      </c>
      <c r="H68" s="23" t="n">
        <v>350028</v>
      </c>
      <c r="I68" s="23" t="n">
        <v>368802</v>
      </c>
      <c r="J68" t="inlineStr">
        <is>
          <t>Jul</t>
        </is>
      </c>
      <c r="K68" t="n">
        <v>7</v>
      </c>
      <c r="L68" t="inlineStr">
        <is>
          <t>Q3</t>
        </is>
      </c>
      <c r="M68" t="n">
        <v>2024</v>
      </c>
      <c r="N68" s="22" t="n">
        <v>45474</v>
      </c>
      <c r="O68" s="24" t="n">
        <v>0.9490946361462248</v>
      </c>
      <c r="P68" s="23" t="n">
        <v>-18774</v>
      </c>
    </row>
    <row r="69">
      <c r="A69" t="inlineStr">
        <is>
          <t>Glucophage 500 MG</t>
        </is>
      </c>
      <c r="B69" t="inlineStr">
        <is>
          <t>Ismailia</t>
        </is>
      </c>
      <c r="C69" s="22" t="n">
        <v>45474</v>
      </c>
      <c r="D69" t="inlineStr">
        <is>
          <t>Mariam Saeed</t>
        </is>
      </c>
      <c r="E69" t="n">
        <v>77</v>
      </c>
      <c r="F69" t="n">
        <v>3808</v>
      </c>
      <c r="G69" t="n">
        <v>3823</v>
      </c>
      <c r="H69" s="23" t="n">
        <v>293216</v>
      </c>
      <c r="I69" s="23" t="n">
        <v>294371</v>
      </c>
      <c r="J69" t="inlineStr">
        <is>
          <t>Jul</t>
        </is>
      </c>
      <c r="K69" t="n">
        <v>7</v>
      </c>
      <c r="L69" t="inlineStr">
        <is>
          <t>Q3</t>
        </is>
      </c>
      <c r="M69" t="n">
        <v>2024</v>
      </c>
      <c r="N69" s="22" t="n">
        <v>45474</v>
      </c>
      <c r="O69" s="24" t="n">
        <v>0.9960763798064347</v>
      </c>
      <c r="P69" s="23" t="n">
        <v>-1155</v>
      </c>
    </row>
    <row r="70">
      <c r="A70" t="inlineStr">
        <is>
          <t>Panadol 500 MG</t>
        </is>
      </c>
      <c r="B70" t="inlineStr">
        <is>
          <t>Ismailia</t>
        </is>
      </c>
      <c r="C70" s="22" t="n">
        <v>45474</v>
      </c>
      <c r="D70" t="inlineStr">
        <is>
          <t>Mariam Saeed</t>
        </is>
      </c>
      <c r="E70" t="n">
        <v>75</v>
      </c>
      <c r="F70" t="n">
        <v>2339</v>
      </c>
      <c r="G70" t="n">
        <v>2261</v>
      </c>
      <c r="H70" s="23" t="n">
        <v>175425</v>
      </c>
      <c r="I70" s="23" t="n">
        <v>169575</v>
      </c>
      <c r="J70" t="inlineStr">
        <is>
          <t>Jul</t>
        </is>
      </c>
      <c r="K70" t="n">
        <v>7</v>
      </c>
      <c r="L70" t="inlineStr">
        <is>
          <t>Q3</t>
        </is>
      </c>
      <c r="M70" t="n">
        <v>2024</v>
      </c>
      <c r="N70" s="22" t="n">
        <v>45474</v>
      </c>
      <c r="O70" s="24" t="n">
        <v>1.034498009730208</v>
      </c>
      <c r="P70" s="23" t="n">
        <v>5850</v>
      </c>
    </row>
    <row r="71">
      <c r="A71" t="inlineStr">
        <is>
          <t>Panadol 250 MG</t>
        </is>
      </c>
      <c r="B71" t="inlineStr">
        <is>
          <t>Ismailia</t>
        </is>
      </c>
      <c r="C71" s="22" t="n">
        <v>45474</v>
      </c>
      <c r="D71" t="inlineStr">
        <is>
          <t>Mariam Saeed</t>
        </is>
      </c>
      <c r="E71" t="n">
        <v>45</v>
      </c>
      <c r="F71" t="n">
        <v>2021</v>
      </c>
      <c r="G71" t="n">
        <v>2175</v>
      </c>
      <c r="H71" s="23" t="n">
        <v>90945</v>
      </c>
      <c r="I71" s="23" t="n">
        <v>97875</v>
      </c>
      <c r="J71" t="inlineStr">
        <is>
          <t>Jul</t>
        </is>
      </c>
      <c r="K71" t="n">
        <v>7</v>
      </c>
      <c r="L71" t="inlineStr">
        <is>
          <t>Q3</t>
        </is>
      </c>
      <c r="M71" t="n">
        <v>2024</v>
      </c>
      <c r="N71" s="22" t="n">
        <v>45474</v>
      </c>
      <c r="O71" s="24" t="n">
        <v>0.9291954022988506</v>
      </c>
      <c r="P71" s="23" t="n">
        <v>-6930</v>
      </c>
    </row>
    <row r="72">
      <c r="A72" t="inlineStr">
        <is>
          <t>Augmentin 1000 MG</t>
        </is>
      </c>
      <c r="B72" t="inlineStr">
        <is>
          <t>Ismailia</t>
        </is>
      </c>
      <c r="C72" s="22" t="n">
        <v>45505</v>
      </c>
      <c r="D72" t="inlineStr">
        <is>
          <t>Mariam Saeed</t>
        </is>
      </c>
      <c r="E72" t="n">
        <v>210</v>
      </c>
      <c r="F72" t="n">
        <v>3130</v>
      </c>
      <c r="G72" t="n">
        <v>3294</v>
      </c>
      <c r="H72" s="23" t="n">
        <v>657300</v>
      </c>
      <c r="I72" s="23" t="n">
        <v>691740</v>
      </c>
      <c r="J72" t="inlineStr">
        <is>
          <t>Aug</t>
        </is>
      </c>
      <c r="K72" t="n">
        <v>8</v>
      </c>
      <c r="L72" t="inlineStr">
        <is>
          <t>Q3</t>
        </is>
      </c>
      <c r="M72" t="n">
        <v>2024</v>
      </c>
      <c r="N72" s="22" t="n">
        <v>45505</v>
      </c>
      <c r="O72" s="24" t="n">
        <v>0.9502125075895568</v>
      </c>
      <c r="P72" s="23" t="n">
        <v>-34440</v>
      </c>
    </row>
    <row r="73">
      <c r="A73" t="inlineStr">
        <is>
          <t>Augmentin 625 MG</t>
        </is>
      </c>
      <c r="B73" t="inlineStr">
        <is>
          <t>Ismailia</t>
        </is>
      </c>
      <c r="C73" s="22" t="n">
        <v>45505</v>
      </c>
      <c r="D73" t="inlineStr">
        <is>
          <t>Mariam Saeed</t>
        </is>
      </c>
      <c r="E73" t="n">
        <v>117</v>
      </c>
      <c r="F73" t="n">
        <v>2668</v>
      </c>
      <c r="G73" t="n">
        <v>2643</v>
      </c>
      <c r="H73" s="23" t="n">
        <v>312156</v>
      </c>
      <c r="I73" s="23" t="n">
        <v>309231</v>
      </c>
      <c r="J73" t="inlineStr">
        <is>
          <t>Aug</t>
        </is>
      </c>
      <c r="K73" t="n">
        <v>8</v>
      </c>
      <c r="L73" t="inlineStr">
        <is>
          <t>Q3</t>
        </is>
      </c>
      <c r="M73" t="n">
        <v>2024</v>
      </c>
      <c r="N73" s="22" t="n">
        <v>45505</v>
      </c>
      <c r="O73" s="24" t="n">
        <v>1.009458948164964</v>
      </c>
      <c r="P73" s="23" t="n">
        <v>2925</v>
      </c>
    </row>
    <row r="74">
      <c r="A74" t="inlineStr">
        <is>
          <t>Cataflam 50 MG</t>
        </is>
      </c>
      <c r="B74" t="inlineStr">
        <is>
          <t>Ismailia</t>
        </is>
      </c>
      <c r="C74" s="22" t="n">
        <v>45505</v>
      </c>
      <c r="D74" t="inlineStr">
        <is>
          <t>Mariam Saeed</t>
        </is>
      </c>
      <c r="E74" t="n">
        <v>86</v>
      </c>
      <c r="F74" t="n">
        <v>2653</v>
      </c>
      <c r="G74" t="n">
        <v>3628</v>
      </c>
      <c r="H74" s="23" t="n">
        <v>228158</v>
      </c>
      <c r="I74" s="23" t="n">
        <v>312008</v>
      </c>
      <c r="J74" t="inlineStr">
        <is>
          <t>Aug</t>
        </is>
      </c>
      <c r="K74" t="n">
        <v>8</v>
      </c>
      <c r="L74" t="inlineStr">
        <is>
          <t>Q3</t>
        </is>
      </c>
      <c r="M74" t="n">
        <v>2024</v>
      </c>
      <c r="N74" s="22" t="n">
        <v>45505</v>
      </c>
      <c r="O74" s="24" t="n">
        <v>0.7312568908489526</v>
      </c>
      <c r="P74" s="23" t="n">
        <v>-83850</v>
      </c>
    </row>
    <row r="75">
      <c r="A75" t="inlineStr">
        <is>
          <t>Cataflam 25 MG</t>
        </is>
      </c>
      <c r="B75" t="inlineStr">
        <is>
          <t>Ismailia</t>
        </is>
      </c>
      <c r="C75" s="22" t="n">
        <v>45505</v>
      </c>
      <c r="D75" t="inlineStr">
        <is>
          <t>Mariam Saeed</t>
        </is>
      </c>
      <c r="E75" t="n">
        <v>34</v>
      </c>
      <c r="F75" t="n">
        <v>2273</v>
      </c>
      <c r="G75" t="n">
        <v>2378</v>
      </c>
      <c r="H75" s="23" t="n">
        <v>77282</v>
      </c>
      <c r="I75" s="23" t="n">
        <v>80852</v>
      </c>
      <c r="J75" t="inlineStr">
        <is>
          <t>Aug</t>
        </is>
      </c>
      <c r="K75" t="n">
        <v>8</v>
      </c>
      <c r="L75" t="inlineStr">
        <is>
          <t>Q3</t>
        </is>
      </c>
      <c r="M75" t="n">
        <v>2024</v>
      </c>
      <c r="N75" s="22" t="n">
        <v>45505</v>
      </c>
      <c r="O75" s="24" t="n">
        <v>0.9558452481076535</v>
      </c>
      <c r="P75" s="23" t="n">
        <v>-3570</v>
      </c>
    </row>
    <row r="76">
      <c r="A76" t="inlineStr">
        <is>
          <t>Concor 10 MG</t>
        </is>
      </c>
      <c r="B76" t="inlineStr">
        <is>
          <t>Ismailia</t>
        </is>
      </c>
      <c r="C76" s="22" t="n">
        <v>45505</v>
      </c>
      <c r="D76" t="inlineStr">
        <is>
          <t>Mariam Saeed</t>
        </is>
      </c>
      <c r="E76" t="n">
        <v>99</v>
      </c>
      <c r="F76" t="n">
        <v>2162</v>
      </c>
      <c r="G76" t="n">
        <v>2072</v>
      </c>
      <c r="H76" s="23" t="n">
        <v>214038</v>
      </c>
      <c r="I76" s="23" t="n">
        <v>205128</v>
      </c>
      <c r="J76" t="inlineStr">
        <is>
          <t>Aug</t>
        </is>
      </c>
      <c r="K76" t="n">
        <v>8</v>
      </c>
      <c r="L76" t="inlineStr">
        <is>
          <t>Q3</t>
        </is>
      </c>
      <c r="M76" t="n">
        <v>2024</v>
      </c>
      <c r="N76" s="22" t="n">
        <v>45505</v>
      </c>
      <c r="O76" s="24" t="n">
        <v>1.043436293436294</v>
      </c>
      <c r="P76" s="23" t="n">
        <v>8910</v>
      </c>
    </row>
    <row r="77">
      <c r="A77" t="inlineStr">
        <is>
          <t>Concor 5 MG</t>
        </is>
      </c>
      <c r="B77" t="inlineStr">
        <is>
          <t>Ismailia</t>
        </is>
      </c>
      <c r="C77" s="22" t="n">
        <v>45505</v>
      </c>
      <c r="D77" t="inlineStr">
        <is>
          <t>Mariam Saeed</t>
        </is>
      </c>
      <c r="E77" t="n">
        <v>72</v>
      </c>
      <c r="F77" t="n">
        <v>3500</v>
      </c>
      <c r="G77" t="n">
        <v>3125</v>
      </c>
      <c r="H77" s="23" t="n">
        <v>252000</v>
      </c>
      <c r="I77" s="23" t="n">
        <v>225000</v>
      </c>
      <c r="J77" t="inlineStr">
        <is>
          <t>Aug</t>
        </is>
      </c>
      <c r="K77" t="n">
        <v>8</v>
      </c>
      <c r="L77" t="inlineStr">
        <is>
          <t>Q3</t>
        </is>
      </c>
      <c r="M77" t="n">
        <v>2024</v>
      </c>
      <c r="N77" s="22" t="n">
        <v>45505</v>
      </c>
      <c r="O77" s="24" t="n">
        <v>1.12</v>
      </c>
      <c r="P77" s="23" t="n">
        <v>27000</v>
      </c>
    </row>
    <row r="78">
      <c r="A78" t="inlineStr">
        <is>
          <t>Glucophage 1000 MG</t>
        </is>
      </c>
      <c r="B78" t="inlineStr">
        <is>
          <t>Ismailia</t>
        </is>
      </c>
      <c r="C78" s="22" t="n">
        <v>45505</v>
      </c>
      <c r="D78" t="inlineStr">
        <is>
          <t>Mariam Saeed</t>
        </is>
      </c>
      <c r="E78" t="n">
        <v>126</v>
      </c>
      <c r="F78" t="n">
        <v>3707</v>
      </c>
      <c r="G78" t="n">
        <v>3945</v>
      </c>
      <c r="H78" s="23" t="n">
        <v>467082</v>
      </c>
      <c r="I78" s="23" t="n">
        <v>497070</v>
      </c>
      <c r="J78" t="inlineStr">
        <is>
          <t>Aug</t>
        </is>
      </c>
      <c r="K78" t="n">
        <v>8</v>
      </c>
      <c r="L78" t="inlineStr">
        <is>
          <t>Q3</t>
        </is>
      </c>
      <c r="M78" t="n">
        <v>2024</v>
      </c>
      <c r="N78" s="22" t="n">
        <v>45505</v>
      </c>
      <c r="O78" s="24" t="n">
        <v>0.9396704689480355</v>
      </c>
      <c r="P78" s="23" t="n">
        <v>-29988</v>
      </c>
    </row>
    <row r="79">
      <c r="A79" t="inlineStr">
        <is>
          <t>Glucophage 500 MG</t>
        </is>
      </c>
      <c r="B79" t="inlineStr">
        <is>
          <t>Ismailia</t>
        </is>
      </c>
      <c r="C79" s="22" t="n">
        <v>45505</v>
      </c>
      <c r="D79" t="inlineStr">
        <is>
          <t>Mariam Saeed</t>
        </is>
      </c>
      <c r="E79" t="n">
        <v>77</v>
      </c>
      <c r="F79" t="n">
        <v>2772</v>
      </c>
      <c r="G79" t="n">
        <v>2914</v>
      </c>
      <c r="H79" s="23" t="n">
        <v>213444</v>
      </c>
      <c r="I79" s="23" t="n">
        <v>224378</v>
      </c>
      <c r="J79" t="inlineStr">
        <is>
          <t>Aug</t>
        </is>
      </c>
      <c r="K79" t="n">
        <v>8</v>
      </c>
      <c r="L79" t="inlineStr">
        <is>
          <t>Q3</t>
        </is>
      </c>
      <c r="M79" t="n">
        <v>2024</v>
      </c>
      <c r="N79" s="22" t="n">
        <v>45505</v>
      </c>
      <c r="O79" s="24" t="n">
        <v>0.9512697323266986</v>
      </c>
      <c r="P79" s="23" t="n">
        <v>-10934</v>
      </c>
    </row>
    <row r="80">
      <c r="A80" t="inlineStr">
        <is>
          <t>Panadol 500 MG</t>
        </is>
      </c>
      <c r="B80" t="inlineStr">
        <is>
          <t>Ismailia</t>
        </is>
      </c>
      <c r="C80" s="22" t="n">
        <v>45505</v>
      </c>
      <c r="D80" t="inlineStr">
        <is>
          <t>Mariam Saeed</t>
        </is>
      </c>
      <c r="E80" t="n">
        <v>75</v>
      </c>
      <c r="F80" t="n">
        <v>3521</v>
      </c>
      <c r="G80" t="n">
        <v>3271</v>
      </c>
      <c r="H80" s="23" t="n">
        <v>264075</v>
      </c>
      <c r="I80" s="23" t="n">
        <v>245325</v>
      </c>
      <c r="J80" t="inlineStr">
        <is>
          <t>Aug</t>
        </is>
      </c>
      <c r="K80" t="n">
        <v>8</v>
      </c>
      <c r="L80" t="inlineStr">
        <is>
          <t>Q3</t>
        </is>
      </c>
      <c r="M80" t="n">
        <v>2024</v>
      </c>
      <c r="N80" s="22" t="n">
        <v>45505</v>
      </c>
      <c r="O80" s="24" t="n">
        <v>1.076429226536227</v>
      </c>
      <c r="P80" s="23" t="n">
        <v>18750</v>
      </c>
    </row>
    <row r="81">
      <c r="A81" t="inlineStr">
        <is>
          <t>Panadol 250 MG</t>
        </is>
      </c>
      <c r="B81" t="inlineStr">
        <is>
          <t>Ismailia</t>
        </is>
      </c>
      <c r="C81" s="22" t="n">
        <v>45505</v>
      </c>
      <c r="D81" t="inlineStr">
        <is>
          <t>Mariam Saeed</t>
        </is>
      </c>
      <c r="E81" t="n">
        <v>45</v>
      </c>
      <c r="F81" t="n">
        <v>2544</v>
      </c>
      <c r="G81" t="n">
        <v>2859</v>
      </c>
      <c r="H81" s="23" t="n">
        <v>114480</v>
      </c>
      <c r="I81" s="23" t="n">
        <v>128655</v>
      </c>
      <c r="J81" t="inlineStr">
        <is>
          <t>Aug</t>
        </is>
      </c>
      <c r="K81" t="n">
        <v>8</v>
      </c>
      <c r="L81" t="inlineStr">
        <is>
          <t>Q3</t>
        </is>
      </c>
      <c r="M81" t="n">
        <v>2024</v>
      </c>
      <c r="N81" s="22" t="n">
        <v>45505</v>
      </c>
      <c r="O81" s="24" t="n">
        <v>0.8898216159496327</v>
      </c>
      <c r="P81" s="23" t="n">
        <v>-14175</v>
      </c>
    </row>
    <row r="82">
      <c r="A82" t="inlineStr">
        <is>
          <t>Augmentin 1000 MG</t>
        </is>
      </c>
      <c r="B82" t="inlineStr">
        <is>
          <t>Ismailia</t>
        </is>
      </c>
      <c r="C82" s="22" t="n">
        <v>45536</v>
      </c>
      <c r="D82" t="inlineStr">
        <is>
          <t>Mariam Saeed</t>
        </is>
      </c>
      <c r="E82" t="n">
        <v>210</v>
      </c>
      <c r="F82" t="n">
        <v>3112</v>
      </c>
      <c r="G82" t="n">
        <v>3459</v>
      </c>
      <c r="H82" s="23" t="n">
        <v>653520</v>
      </c>
      <c r="I82" s="23" t="n">
        <v>726390</v>
      </c>
      <c r="J82" t="inlineStr">
        <is>
          <t>Sep</t>
        </is>
      </c>
      <c r="K82" t="n">
        <v>9</v>
      </c>
      <c r="L82" t="inlineStr">
        <is>
          <t>Q3</t>
        </is>
      </c>
      <c r="M82" t="n">
        <v>2024</v>
      </c>
      <c r="N82" s="22" t="n">
        <v>45536</v>
      </c>
      <c r="O82" s="24" t="n">
        <v>0.899681989014166</v>
      </c>
      <c r="P82" s="23" t="n">
        <v>-72870</v>
      </c>
    </row>
    <row r="83">
      <c r="A83" t="inlineStr">
        <is>
          <t>Augmentin 625 MG</t>
        </is>
      </c>
      <c r="B83" t="inlineStr">
        <is>
          <t>Ismailia</t>
        </is>
      </c>
      <c r="C83" s="22" t="n">
        <v>45536</v>
      </c>
      <c r="D83" t="inlineStr">
        <is>
          <t>Mariam Saeed</t>
        </is>
      </c>
      <c r="E83" t="n">
        <v>117</v>
      </c>
      <c r="F83" t="n">
        <v>3180</v>
      </c>
      <c r="G83" t="n">
        <v>3070</v>
      </c>
      <c r="H83" s="23" t="n">
        <v>372060</v>
      </c>
      <c r="I83" s="23" t="n">
        <v>359190</v>
      </c>
      <c r="J83" t="inlineStr">
        <is>
          <t>Sep</t>
        </is>
      </c>
      <c r="K83" t="n">
        <v>9</v>
      </c>
      <c r="L83" t="inlineStr">
        <is>
          <t>Q3</t>
        </is>
      </c>
      <c r="M83" t="n">
        <v>2024</v>
      </c>
      <c r="N83" s="22" t="n">
        <v>45536</v>
      </c>
      <c r="O83" s="24" t="n">
        <v>1.035830618892508</v>
      </c>
      <c r="P83" s="23" t="n">
        <v>12870</v>
      </c>
    </row>
    <row r="84">
      <c r="A84" t="inlineStr">
        <is>
          <t>Cataflam 50 MG</t>
        </is>
      </c>
      <c r="B84" t="inlineStr">
        <is>
          <t>Ismailia</t>
        </is>
      </c>
      <c r="C84" s="22" t="n">
        <v>45536</v>
      </c>
      <c r="D84" t="inlineStr">
        <is>
          <t>Mariam Saeed</t>
        </is>
      </c>
      <c r="E84" t="n">
        <v>86</v>
      </c>
      <c r="F84" t="n">
        <v>3238</v>
      </c>
      <c r="G84" t="n">
        <v>3023</v>
      </c>
      <c r="H84" s="23" t="n">
        <v>278468</v>
      </c>
      <c r="I84" s="23" t="n">
        <v>259978</v>
      </c>
      <c r="J84" t="inlineStr">
        <is>
          <t>Sep</t>
        </is>
      </c>
      <c r="K84" t="n">
        <v>9</v>
      </c>
      <c r="L84" t="inlineStr">
        <is>
          <t>Q3</t>
        </is>
      </c>
      <c r="M84" t="n">
        <v>2024</v>
      </c>
      <c r="N84" s="22" t="n">
        <v>45536</v>
      </c>
      <c r="O84" s="24" t="n">
        <v>1.071121402580218</v>
      </c>
      <c r="P84" s="23" t="n">
        <v>18490</v>
      </c>
    </row>
    <row r="85">
      <c r="A85" t="inlineStr">
        <is>
          <t>Cataflam 25 MG</t>
        </is>
      </c>
      <c r="B85" t="inlineStr">
        <is>
          <t>Ismailia</t>
        </is>
      </c>
      <c r="C85" s="22" t="n">
        <v>45536</v>
      </c>
      <c r="D85" t="inlineStr">
        <is>
          <t>Mariam Saeed</t>
        </is>
      </c>
      <c r="E85" t="n">
        <v>34</v>
      </c>
      <c r="F85" t="n">
        <v>3580</v>
      </c>
      <c r="G85" t="n">
        <v>3598</v>
      </c>
      <c r="H85" s="23" t="n">
        <v>121720</v>
      </c>
      <c r="I85" s="23" t="n">
        <v>122332</v>
      </c>
      <c r="J85" t="inlineStr">
        <is>
          <t>Sep</t>
        </is>
      </c>
      <c r="K85" t="n">
        <v>9</v>
      </c>
      <c r="L85" t="inlineStr">
        <is>
          <t>Q3</t>
        </is>
      </c>
      <c r="M85" t="n">
        <v>2024</v>
      </c>
      <c r="N85" s="22" t="n">
        <v>45536</v>
      </c>
      <c r="O85" s="24" t="n">
        <v>0.9949972206781545</v>
      </c>
      <c r="P85" s="23" t="n">
        <v>-612</v>
      </c>
    </row>
    <row r="86">
      <c r="A86" t="inlineStr">
        <is>
          <t>Concor 10 MG</t>
        </is>
      </c>
      <c r="B86" t="inlineStr">
        <is>
          <t>Ismailia</t>
        </is>
      </c>
      <c r="C86" s="22" t="n">
        <v>45536</v>
      </c>
      <c r="D86" t="inlineStr">
        <is>
          <t>Mariam Saeed</t>
        </is>
      </c>
      <c r="E86" t="n">
        <v>99</v>
      </c>
      <c r="F86" t="n">
        <v>2494</v>
      </c>
      <c r="G86" t="n">
        <v>2736</v>
      </c>
      <c r="H86" s="23" t="n">
        <v>246906</v>
      </c>
      <c r="I86" s="23" t="n">
        <v>270864</v>
      </c>
      <c r="J86" t="inlineStr">
        <is>
          <t>Sep</t>
        </is>
      </c>
      <c r="K86" t="n">
        <v>9</v>
      </c>
      <c r="L86" t="inlineStr">
        <is>
          <t>Q3</t>
        </is>
      </c>
      <c r="M86" t="n">
        <v>2024</v>
      </c>
      <c r="N86" s="22" t="n">
        <v>45536</v>
      </c>
      <c r="O86" s="24" t="n">
        <v>0.9115497076023392</v>
      </c>
      <c r="P86" s="23" t="n">
        <v>-23958</v>
      </c>
    </row>
    <row r="87">
      <c r="A87" t="inlineStr">
        <is>
          <t>Concor 5 MG</t>
        </is>
      </c>
      <c r="B87" t="inlineStr">
        <is>
          <t>Ismailia</t>
        </is>
      </c>
      <c r="C87" s="22" t="n">
        <v>45536</v>
      </c>
      <c r="D87" t="inlineStr">
        <is>
          <t>Mariam Saeed</t>
        </is>
      </c>
      <c r="E87" t="n">
        <v>72</v>
      </c>
      <c r="F87" t="n">
        <v>3143</v>
      </c>
      <c r="G87" t="n">
        <v>3389</v>
      </c>
      <c r="H87" s="23" t="n">
        <v>226296</v>
      </c>
      <c r="I87" s="23" t="n">
        <v>244008</v>
      </c>
      <c r="J87" t="inlineStr">
        <is>
          <t>Sep</t>
        </is>
      </c>
      <c r="K87" t="n">
        <v>9</v>
      </c>
      <c r="L87" t="inlineStr">
        <is>
          <t>Q3</t>
        </is>
      </c>
      <c r="M87" t="n">
        <v>2024</v>
      </c>
      <c r="N87" s="22" t="n">
        <v>45536</v>
      </c>
      <c r="O87" s="24" t="n">
        <v>0.9274122159929182</v>
      </c>
      <c r="P87" s="23" t="n">
        <v>-17712</v>
      </c>
    </row>
    <row r="88">
      <c r="A88" t="inlineStr">
        <is>
          <t>Glucophage 1000 MG</t>
        </is>
      </c>
      <c r="B88" t="inlineStr">
        <is>
          <t>Ismailia</t>
        </is>
      </c>
      <c r="C88" s="22" t="n">
        <v>45536</v>
      </c>
      <c r="D88" t="inlineStr">
        <is>
          <t>Mariam Saeed</t>
        </is>
      </c>
      <c r="E88" t="n">
        <v>126</v>
      </c>
      <c r="F88" t="n">
        <v>2216</v>
      </c>
      <c r="G88" t="n">
        <v>2068</v>
      </c>
      <c r="H88" s="23" t="n">
        <v>279216</v>
      </c>
      <c r="I88" s="23" t="n">
        <v>260568</v>
      </c>
      <c r="J88" t="inlineStr">
        <is>
          <t>Sep</t>
        </is>
      </c>
      <c r="K88" t="n">
        <v>9</v>
      </c>
      <c r="L88" t="inlineStr">
        <is>
          <t>Q3</t>
        </is>
      </c>
      <c r="M88" t="n">
        <v>2024</v>
      </c>
      <c r="N88" s="22" t="n">
        <v>45536</v>
      </c>
      <c r="O88" s="24" t="n">
        <v>1.071566731141199</v>
      </c>
      <c r="P88" s="23" t="n">
        <v>18648</v>
      </c>
    </row>
    <row r="89">
      <c r="A89" t="inlineStr">
        <is>
          <t>Glucophage 500 MG</t>
        </is>
      </c>
      <c r="B89" t="inlineStr">
        <is>
          <t>Ismailia</t>
        </is>
      </c>
      <c r="C89" s="22" t="n">
        <v>45536</v>
      </c>
      <c r="D89" t="inlineStr">
        <is>
          <t>Mariam Saeed</t>
        </is>
      </c>
      <c r="E89" t="n">
        <v>77</v>
      </c>
      <c r="F89" t="n">
        <v>2125</v>
      </c>
      <c r="G89" t="n">
        <v>2298</v>
      </c>
      <c r="H89" s="23" t="n">
        <v>163625</v>
      </c>
      <c r="I89" s="23" t="n">
        <v>176946</v>
      </c>
      <c r="J89" t="inlineStr">
        <is>
          <t>Sep</t>
        </is>
      </c>
      <c r="K89" t="n">
        <v>9</v>
      </c>
      <c r="L89" t="inlineStr">
        <is>
          <t>Q3</t>
        </is>
      </c>
      <c r="M89" t="n">
        <v>2024</v>
      </c>
      <c r="N89" s="22" t="n">
        <v>45536</v>
      </c>
      <c r="O89" s="24" t="n">
        <v>0.9247171453437772</v>
      </c>
      <c r="P89" s="23" t="n">
        <v>-13321</v>
      </c>
    </row>
    <row r="90">
      <c r="A90" t="inlineStr">
        <is>
          <t>Panadol 500 MG</t>
        </is>
      </c>
      <c r="B90" t="inlineStr">
        <is>
          <t>Ismailia</t>
        </is>
      </c>
      <c r="C90" s="22" t="n">
        <v>45536</v>
      </c>
      <c r="D90" t="inlineStr">
        <is>
          <t>Mariam Saeed</t>
        </is>
      </c>
      <c r="E90" t="n">
        <v>75</v>
      </c>
      <c r="F90" t="n">
        <v>3051</v>
      </c>
      <c r="G90" t="n">
        <v>2943</v>
      </c>
      <c r="H90" s="23" t="n">
        <v>228825</v>
      </c>
      <c r="I90" s="23" t="n">
        <v>220725</v>
      </c>
      <c r="J90" t="inlineStr">
        <is>
          <t>Sep</t>
        </is>
      </c>
      <c r="K90" t="n">
        <v>9</v>
      </c>
      <c r="L90" t="inlineStr">
        <is>
          <t>Q3</t>
        </is>
      </c>
      <c r="M90" t="n">
        <v>2024</v>
      </c>
      <c r="N90" s="22" t="n">
        <v>45536</v>
      </c>
      <c r="O90" s="24" t="n">
        <v>1.036697247706422</v>
      </c>
      <c r="P90" s="23" t="n">
        <v>8100</v>
      </c>
    </row>
    <row r="91">
      <c r="A91" t="inlineStr">
        <is>
          <t>Panadol 250 MG</t>
        </is>
      </c>
      <c r="B91" t="inlineStr">
        <is>
          <t>Ismailia</t>
        </is>
      </c>
      <c r="C91" s="22" t="n">
        <v>45536</v>
      </c>
      <c r="D91" t="inlineStr">
        <is>
          <t>Mariam Saeed</t>
        </is>
      </c>
      <c r="E91" t="n">
        <v>45</v>
      </c>
      <c r="F91" t="n">
        <v>3074</v>
      </c>
      <c r="G91" t="n">
        <v>2801</v>
      </c>
      <c r="H91" s="23" t="n">
        <v>138330</v>
      </c>
      <c r="I91" s="23" t="n">
        <v>126045</v>
      </c>
      <c r="J91" t="inlineStr">
        <is>
          <t>Sep</t>
        </is>
      </c>
      <c r="K91" t="n">
        <v>9</v>
      </c>
      <c r="L91" t="inlineStr">
        <is>
          <t>Q3</t>
        </is>
      </c>
      <c r="M91" t="n">
        <v>2024</v>
      </c>
      <c r="N91" s="22" t="n">
        <v>45536</v>
      </c>
      <c r="O91" s="24" t="n">
        <v>1.097465191003213</v>
      </c>
      <c r="P91" s="23" t="n">
        <v>12285</v>
      </c>
    </row>
    <row r="92">
      <c r="A92" t="inlineStr">
        <is>
          <t>Augmentin 1000 MG</t>
        </is>
      </c>
      <c r="B92" t="inlineStr">
        <is>
          <t>Ismailia</t>
        </is>
      </c>
      <c r="C92" s="22" t="n">
        <v>45566</v>
      </c>
      <c r="D92" t="inlineStr">
        <is>
          <t>Mariam Saeed</t>
        </is>
      </c>
      <c r="E92" t="n">
        <v>210</v>
      </c>
      <c r="F92" t="n">
        <v>3590</v>
      </c>
      <c r="G92" t="n">
        <v>3361</v>
      </c>
      <c r="H92" s="23" t="n">
        <v>753900</v>
      </c>
      <c r="I92" s="23" t="n">
        <v>705810</v>
      </c>
      <c r="J92" t="inlineStr">
        <is>
          <t>Oct</t>
        </is>
      </c>
      <c r="K92" t="n">
        <v>10</v>
      </c>
      <c r="L92" t="inlineStr">
        <is>
          <t>Q4</t>
        </is>
      </c>
      <c r="M92" t="n">
        <v>2024</v>
      </c>
      <c r="N92" s="22" t="n">
        <v>45566</v>
      </c>
      <c r="O92" s="24" t="n">
        <v>1.068134483784588</v>
      </c>
      <c r="P92" s="23" t="n">
        <v>48090</v>
      </c>
    </row>
    <row r="93">
      <c r="A93" t="inlineStr">
        <is>
          <t>Augmentin 625 MG</t>
        </is>
      </c>
      <c r="B93" t="inlineStr">
        <is>
          <t>Ismailia</t>
        </is>
      </c>
      <c r="C93" s="22" t="n">
        <v>45566</v>
      </c>
      <c r="D93" t="inlineStr">
        <is>
          <t>Mariam Saeed</t>
        </is>
      </c>
      <c r="E93" t="n">
        <v>117</v>
      </c>
      <c r="F93" t="n">
        <v>3410</v>
      </c>
      <c r="G93" t="n">
        <v>3573</v>
      </c>
      <c r="H93" s="23" t="n">
        <v>398970</v>
      </c>
      <c r="I93" s="23" t="n">
        <v>418041</v>
      </c>
      <c r="J93" t="inlineStr">
        <is>
          <t>Oct</t>
        </is>
      </c>
      <c r="K93" t="n">
        <v>10</v>
      </c>
      <c r="L93" t="inlineStr">
        <is>
          <t>Q4</t>
        </is>
      </c>
      <c r="M93" t="n">
        <v>2024</v>
      </c>
      <c r="N93" s="22" t="n">
        <v>45566</v>
      </c>
      <c r="O93" s="24" t="n">
        <v>0.9543800727679821</v>
      </c>
      <c r="P93" s="23" t="n">
        <v>-19071</v>
      </c>
    </row>
    <row r="94">
      <c r="A94" t="inlineStr">
        <is>
          <t>Cataflam 50 MG</t>
        </is>
      </c>
      <c r="B94" t="inlineStr">
        <is>
          <t>Ismailia</t>
        </is>
      </c>
      <c r="C94" s="22" t="n">
        <v>45566</v>
      </c>
      <c r="D94" t="inlineStr">
        <is>
          <t>Mariam Saeed</t>
        </is>
      </c>
      <c r="E94" t="n">
        <v>86</v>
      </c>
      <c r="F94" t="n">
        <v>2611</v>
      </c>
      <c r="G94" t="n">
        <v>2638</v>
      </c>
      <c r="H94" s="23" t="n">
        <v>224546</v>
      </c>
      <c r="I94" s="23" t="n">
        <v>226868</v>
      </c>
      <c r="J94" t="inlineStr">
        <is>
          <t>Oct</t>
        </is>
      </c>
      <c r="K94" t="n">
        <v>10</v>
      </c>
      <c r="L94" t="inlineStr">
        <is>
          <t>Q4</t>
        </is>
      </c>
      <c r="M94" t="n">
        <v>2024</v>
      </c>
      <c r="N94" s="22" t="n">
        <v>45566</v>
      </c>
      <c r="O94" s="24" t="n">
        <v>0.989764973464746</v>
      </c>
      <c r="P94" s="23" t="n">
        <v>-2322</v>
      </c>
    </row>
    <row r="95">
      <c r="A95" t="inlineStr">
        <is>
          <t>Cataflam 25 MG</t>
        </is>
      </c>
      <c r="B95" t="inlineStr">
        <is>
          <t>Ismailia</t>
        </is>
      </c>
      <c r="C95" s="22" t="n">
        <v>45566</v>
      </c>
      <c r="D95" t="inlineStr">
        <is>
          <t>Mariam Saeed</t>
        </is>
      </c>
      <c r="E95" t="n">
        <v>34</v>
      </c>
      <c r="F95" t="n">
        <v>1945</v>
      </c>
      <c r="G95" t="n">
        <v>2274</v>
      </c>
      <c r="H95" s="23" t="n">
        <v>66130</v>
      </c>
      <c r="I95" s="23" t="n">
        <v>77316</v>
      </c>
      <c r="J95" t="inlineStr">
        <is>
          <t>Oct</t>
        </is>
      </c>
      <c r="K95" t="n">
        <v>10</v>
      </c>
      <c r="L95" t="inlineStr">
        <is>
          <t>Q4</t>
        </is>
      </c>
      <c r="M95" t="n">
        <v>2024</v>
      </c>
      <c r="N95" s="22" t="n">
        <v>45566</v>
      </c>
      <c r="O95" s="24" t="n">
        <v>0.855321020228672</v>
      </c>
      <c r="P95" s="23" t="n">
        <v>-11186</v>
      </c>
    </row>
    <row r="96">
      <c r="A96" t="inlineStr">
        <is>
          <t>Concor 10 MG</t>
        </is>
      </c>
      <c r="B96" t="inlineStr">
        <is>
          <t>Ismailia</t>
        </is>
      </c>
      <c r="C96" s="22" t="n">
        <v>45566</v>
      </c>
      <c r="D96" t="inlineStr">
        <is>
          <t>Mariam Saeed</t>
        </is>
      </c>
      <c r="E96" t="n">
        <v>99</v>
      </c>
      <c r="F96" t="n">
        <v>3455</v>
      </c>
      <c r="G96" t="n">
        <v>3187</v>
      </c>
      <c r="H96" s="23" t="n">
        <v>342045</v>
      </c>
      <c r="I96" s="23" t="n">
        <v>315513</v>
      </c>
      <c r="J96" t="inlineStr">
        <is>
          <t>Oct</t>
        </is>
      </c>
      <c r="K96" t="n">
        <v>10</v>
      </c>
      <c r="L96" t="inlineStr">
        <is>
          <t>Q4</t>
        </is>
      </c>
      <c r="M96" t="n">
        <v>2024</v>
      </c>
      <c r="N96" s="22" t="n">
        <v>45566</v>
      </c>
      <c r="O96" s="24" t="n">
        <v>1.084091622215249</v>
      </c>
      <c r="P96" s="23" t="n">
        <v>26532</v>
      </c>
    </row>
    <row r="97">
      <c r="A97" t="inlineStr">
        <is>
          <t>Concor 5 MG</t>
        </is>
      </c>
      <c r="B97" t="inlineStr">
        <is>
          <t>Ismailia</t>
        </is>
      </c>
      <c r="C97" s="22" t="n">
        <v>45566</v>
      </c>
      <c r="D97" t="inlineStr">
        <is>
          <t>Mariam Saeed</t>
        </is>
      </c>
      <c r="E97" t="n">
        <v>72</v>
      </c>
      <c r="F97" t="n">
        <v>3728</v>
      </c>
      <c r="G97" t="n">
        <v>3466</v>
      </c>
      <c r="H97" s="23" t="n">
        <v>268416</v>
      </c>
      <c r="I97" s="23" t="n">
        <v>249552</v>
      </c>
      <c r="J97" t="inlineStr">
        <is>
          <t>Oct</t>
        </is>
      </c>
      <c r="K97" t="n">
        <v>10</v>
      </c>
      <c r="L97" t="inlineStr">
        <is>
          <t>Q4</t>
        </is>
      </c>
      <c r="M97" t="n">
        <v>2024</v>
      </c>
      <c r="N97" s="22" t="n">
        <v>45566</v>
      </c>
      <c r="O97" s="24" t="n">
        <v>1.075591459896134</v>
      </c>
      <c r="P97" s="23" t="n">
        <v>18864</v>
      </c>
    </row>
    <row r="98">
      <c r="A98" t="inlineStr">
        <is>
          <t>Glucophage 1000 MG</t>
        </is>
      </c>
      <c r="B98" t="inlineStr">
        <is>
          <t>Ismailia</t>
        </is>
      </c>
      <c r="C98" s="22" t="n">
        <v>45566</v>
      </c>
      <c r="D98" t="inlineStr">
        <is>
          <t>Mariam Saeed</t>
        </is>
      </c>
      <c r="E98" t="n">
        <v>126</v>
      </c>
      <c r="F98" t="n">
        <v>2285</v>
      </c>
      <c r="G98" t="n">
        <v>2318</v>
      </c>
      <c r="H98" s="23" t="n">
        <v>287910</v>
      </c>
      <c r="I98" s="23" t="n">
        <v>292068</v>
      </c>
      <c r="J98" t="inlineStr">
        <is>
          <t>Oct</t>
        </is>
      </c>
      <c r="K98" t="n">
        <v>10</v>
      </c>
      <c r="L98" t="inlineStr">
        <is>
          <t>Q4</t>
        </is>
      </c>
      <c r="M98" t="n">
        <v>2024</v>
      </c>
      <c r="N98" s="22" t="n">
        <v>45566</v>
      </c>
      <c r="O98" s="24" t="n">
        <v>0.9857635893011216</v>
      </c>
      <c r="P98" s="23" t="n">
        <v>-4158</v>
      </c>
    </row>
    <row r="99">
      <c r="A99" t="inlineStr">
        <is>
          <t>Glucophage 500 MG</t>
        </is>
      </c>
      <c r="B99" t="inlineStr">
        <is>
          <t>Ismailia</t>
        </is>
      </c>
      <c r="C99" s="22" t="n">
        <v>45566</v>
      </c>
      <c r="D99" t="inlineStr">
        <is>
          <t>Mariam Saeed</t>
        </is>
      </c>
      <c r="E99" t="n">
        <v>77</v>
      </c>
      <c r="F99" t="n">
        <v>2573</v>
      </c>
      <c r="G99" t="n">
        <v>2588</v>
      </c>
      <c r="H99" s="23" t="n">
        <v>198121</v>
      </c>
      <c r="I99" s="23" t="n">
        <v>199276</v>
      </c>
      <c r="J99" t="inlineStr">
        <is>
          <t>Oct</t>
        </is>
      </c>
      <c r="K99" t="n">
        <v>10</v>
      </c>
      <c r="L99" t="inlineStr">
        <is>
          <t>Q4</t>
        </is>
      </c>
      <c r="M99" t="n">
        <v>2024</v>
      </c>
      <c r="N99" s="22" t="n">
        <v>45566</v>
      </c>
      <c r="O99" s="24" t="n">
        <v>0.9942040185471407</v>
      </c>
      <c r="P99" s="23" t="n">
        <v>-1155</v>
      </c>
    </row>
    <row r="100">
      <c r="A100" t="inlineStr">
        <is>
          <t>Panadol 500 MG</t>
        </is>
      </c>
      <c r="B100" t="inlineStr">
        <is>
          <t>Ismailia</t>
        </is>
      </c>
      <c r="C100" s="22" t="n">
        <v>45566</v>
      </c>
      <c r="D100" t="inlineStr">
        <is>
          <t>Mariam Saeed</t>
        </is>
      </c>
      <c r="E100" t="n">
        <v>75</v>
      </c>
      <c r="F100" t="n">
        <v>2569</v>
      </c>
      <c r="G100" t="n">
        <v>2503</v>
      </c>
      <c r="H100" s="23" t="n">
        <v>192675</v>
      </c>
      <c r="I100" s="23" t="n">
        <v>187725</v>
      </c>
      <c r="J100" t="inlineStr">
        <is>
          <t>Oct</t>
        </is>
      </c>
      <c r="K100" t="n">
        <v>10</v>
      </c>
      <c r="L100" t="inlineStr">
        <is>
          <t>Q4</t>
        </is>
      </c>
      <c r="M100" t="n">
        <v>2024</v>
      </c>
      <c r="N100" s="22" t="n">
        <v>45566</v>
      </c>
      <c r="O100" s="24" t="n">
        <v>1.026368357970435</v>
      </c>
      <c r="P100" s="23" t="n">
        <v>4950</v>
      </c>
    </row>
    <row r="101">
      <c r="A101" t="inlineStr">
        <is>
          <t>Panadol 250 MG</t>
        </is>
      </c>
      <c r="B101" t="inlineStr">
        <is>
          <t>Ismailia</t>
        </is>
      </c>
      <c r="C101" s="22" t="n">
        <v>45566</v>
      </c>
      <c r="D101" t="inlineStr">
        <is>
          <t>Mariam Saeed</t>
        </is>
      </c>
      <c r="E101" t="n">
        <v>45</v>
      </c>
      <c r="F101" t="n">
        <v>3398</v>
      </c>
      <c r="G101" t="n">
        <v>3709</v>
      </c>
      <c r="H101" s="23" t="n">
        <v>152910</v>
      </c>
      <c r="I101" s="23" t="n">
        <v>166905</v>
      </c>
      <c r="J101" t="inlineStr">
        <is>
          <t>Oct</t>
        </is>
      </c>
      <c r="K101" t="n">
        <v>10</v>
      </c>
      <c r="L101" t="inlineStr">
        <is>
          <t>Q4</t>
        </is>
      </c>
      <c r="M101" t="n">
        <v>2024</v>
      </c>
      <c r="N101" s="22" t="n">
        <v>45566</v>
      </c>
      <c r="O101" s="24" t="n">
        <v>0.916149905634942</v>
      </c>
      <c r="P101" s="23" t="n">
        <v>-13995</v>
      </c>
    </row>
    <row r="102">
      <c r="A102" t="inlineStr">
        <is>
          <t>Augmentin 1000 MG</t>
        </is>
      </c>
      <c r="B102" t="inlineStr">
        <is>
          <t>Ismailia</t>
        </is>
      </c>
      <c r="C102" s="22" t="n">
        <v>45597</v>
      </c>
      <c r="D102" t="inlineStr">
        <is>
          <t>Mariam Saeed</t>
        </is>
      </c>
      <c r="E102" t="n">
        <v>210</v>
      </c>
      <c r="F102" t="n">
        <v>2384</v>
      </c>
      <c r="G102" t="n">
        <v>2389</v>
      </c>
      <c r="H102" s="23" t="n">
        <v>500640</v>
      </c>
      <c r="I102" s="23" t="n">
        <v>501690</v>
      </c>
      <c r="J102" t="inlineStr">
        <is>
          <t>Nov</t>
        </is>
      </c>
      <c r="K102" t="n">
        <v>11</v>
      </c>
      <c r="L102" t="inlineStr">
        <is>
          <t>Q4</t>
        </is>
      </c>
      <c r="M102" t="n">
        <v>2024</v>
      </c>
      <c r="N102" s="22" t="n">
        <v>45597</v>
      </c>
      <c r="O102" s="24" t="n">
        <v>0.9979070740895772</v>
      </c>
      <c r="P102" s="23" t="n">
        <v>-1050</v>
      </c>
    </row>
    <row r="103">
      <c r="A103" t="inlineStr">
        <is>
          <t>Augmentin 625 MG</t>
        </is>
      </c>
      <c r="B103" t="inlineStr">
        <is>
          <t>Ismailia</t>
        </is>
      </c>
      <c r="C103" s="22" t="n">
        <v>45597</v>
      </c>
      <c r="D103" t="inlineStr">
        <is>
          <t>Mariam Saeed</t>
        </is>
      </c>
      <c r="E103" t="n">
        <v>117</v>
      </c>
      <c r="F103" t="n">
        <v>3594</v>
      </c>
      <c r="G103" t="n">
        <v>3642</v>
      </c>
      <c r="H103" s="23" t="n">
        <v>420498</v>
      </c>
      <c r="I103" s="23" t="n">
        <v>426114</v>
      </c>
      <c r="J103" t="inlineStr">
        <is>
          <t>Nov</t>
        </is>
      </c>
      <c r="K103" t="n">
        <v>11</v>
      </c>
      <c r="L103" t="inlineStr">
        <is>
          <t>Q4</t>
        </is>
      </c>
      <c r="M103" t="n">
        <v>2024</v>
      </c>
      <c r="N103" s="22" t="n">
        <v>45597</v>
      </c>
      <c r="O103" s="24" t="n">
        <v>0.9868204283360791</v>
      </c>
      <c r="P103" s="23" t="n">
        <v>-5616</v>
      </c>
    </row>
    <row r="104">
      <c r="A104" t="inlineStr">
        <is>
          <t>Cataflam 50 MG</t>
        </is>
      </c>
      <c r="B104" t="inlineStr">
        <is>
          <t>Ismailia</t>
        </is>
      </c>
      <c r="C104" s="22" t="n">
        <v>45597</v>
      </c>
      <c r="D104" t="inlineStr">
        <is>
          <t>Mariam Saeed</t>
        </is>
      </c>
      <c r="E104" t="n">
        <v>86</v>
      </c>
      <c r="F104" t="n">
        <v>3200</v>
      </c>
      <c r="G104" t="n">
        <v>3880</v>
      </c>
      <c r="H104" s="23" t="n">
        <v>275200</v>
      </c>
      <c r="I104" s="23" t="n">
        <v>333680</v>
      </c>
      <c r="J104" t="inlineStr">
        <is>
          <t>Nov</t>
        </is>
      </c>
      <c r="K104" t="n">
        <v>11</v>
      </c>
      <c r="L104" t="inlineStr">
        <is>
          <t>Q4</t>
        </is>
      </c>
      <c r="M104" t="n">
        <v>2024</v>
      </c>
      <c r="N104" s="22" t="n">
        <v>45597</v>
      </c>
      <c r="O104" s="24" t="n">
        <v>0.8247422680412371</v>
      </c>
      <c r="P104" s="23" t="n">
        <v>-58480</v>
      </c>
    </row>
    <row r="105">
      <c r="A105" t="inlineStr">
        <is>
          <t>Cataflam 25 MG</t>
        </is>
      </c>
      <c r="B105" t="inlineStr">
        <is>
          <t>Ismailia</t>
        </is>
      </c>
      <c r="C105" s="22" t="n">
        <v>45597</v>
      </c>
      <c r="D105" t="inlineStr">
        <is>
          <t>Mariam Saeed</t>
        </is>
      </c>
      <c r="E105" t="n">
        <v>34</v>
      </c>
      <c r="F105" t="n">
        <v>2365</v>
      </c>
      <c r="G105" t="n">
        <v>2294</v>
      </c>
      <c r="H105" s="23" t="n">
        <v>80410</v>
      </c>
      <c r="I105" s="23" t="n">
        <v>77996</v>
      </c>
      <c r="J105" t="inlineStr">
        <is>
          <t>Nov</t>
        </is>
      </c>
      <c r="K105" t="n">
        <v>11</v>
      </c>
      <c r="L105" t="inlineStr">
        <is>
          <t>Q4</t>
        </is>
      </c>
      <c r="M105" t="n">
        <v>2024</v>
      </c>
      <c r="N105" s="22" t="n">
        <v>45597</v>
      </c>
      <c r="O105" s="24" t="n">
        <v>1.030950305143854</v>
      </c>
      <c r="P105" s="23" t="n">
        <v>2414</v>
      </c>
    </row>
    <row r="106">
      <c r="A106" t="inlineStr">
        <is>
          <t>Concor 10 MG</t>
        </is>
      </c>
      <c r="B106" t="inlineStr">
        <is>
          <t>Ismailia</t>
        </is>
      </c>
      <c r="C106" s="22" t="n">
        <v>45597</v>
      </c>
      <c r="D106" t="inlineStr">
        <is>
          <t>Mariam Saeed</t>
        </is>
      </c>
      <c r="E106" t="n">
        <v>99</v>
      </c>
      <c r="F106" t="n">
        <v>3207</v>
      </c>
      <c r="G106" t="n">
        <v>3392</v>
      </c>
      <c r="H106" s="23" t="n">
        <v>317493</v>
      </c>
      <c r="I106" s="23" t="n">
        <v>335808</v>
      </c>
      <c r="J106" t="inlineStr">
        <is>
          <t>Nov</t>
        </is>
      </c>
      <c r="K106" t="n">
        <v>11</v>
      </c>
      <c r="L106" t="inlineStr">
        <is>
          <t>Q4</t>
        </is>
      </c>
      <c r="M106" t="n">
        <v>2024</v>
      </c>
      <c r="N106" s="22" t="n">
        <v>45597</v>
      </c>
      <c r="O106" s="24" t="n">
        <v>0.9454599056603774</v>
      </c>
      <c r="P106" s="23" t="n">
        <v>-18315</v>
      </c>
    </row>
    <row r="107">
      <c r="A107" t="inlineStr">
        <is>
          <t>Concor 5 MG</t>
        </is>
      </c>
      <c r="B107" t="inlineStr">
        <is>
          <t>Ismailia</t>
        </is>
      </c>
      <c r="C107" s="22" t="n">
        <v>45597</v>
      </c>
      <c r="D107" t="inlineStr">
        <is>
          <t>Mariam Saeed</t>
        </is>
      </c>
      <c r="E107" t="n">
        <v>72</v>
      </c>
      <c r="F107" t="n">
        <v>3700</v>
      </c>
      <c r="G107" t="n">
        <v>3125</v>
      </c>
      <c r="H107" s="23" t="n">
        <v>266400</v>
      </c>
      <c r="I107" s="23" t="n">
        <v>225000</v>
      </c>
      <c r="J107" t="inlineStr">
        <is>
          <t>Nov</t>
        </is>
      </c>
      <c r="K107" t="n">
        <v>11</v>
      </c>
      <c r="L107" t="inlineStr">
        <is>
          <t>Q4</t>
        </is>
      </c>
      <c r="M107" t="n">
        <v>2024</v>
      </c>
      <c r="N107" s="22" t="n">
        <v>45597</v>
      </c>
      <c r="O107" s="24" t="n">
        <v>1.184</v>
      </c>
      <c r="P107" s="23" t="n">
        <v>41400</v>
      </c>
    </row>
    <row r="108">
      <c r="A108" t="inlineStr">
        <is>
          <t>Glucophage 1000 MG</t>
        </is>
      </c>
      <c r="B108" t="inlineStr">
        <is>
          <t>Ismailia</t>
        </is>
      </c>
      <c r="C108" s="22" t="n">
        <v>45597</v>
      </c>
      <c r="D108" t="inlineStr">
        <is>
          <t>Mariam Saeed</t>
        </is>
      </c>
      <c r="E108" t="n">
        <v>126</v>
      </c>
      <c r="F108" t="n">
        <v>2972</v>
      </c>
      <c r="G108" t="n">
        <v>2795</v>
      </c>
      <c r="H108" s="23" t="n">
        <v>374472</v>
      </c>
      <c r="I108" s="23" t="n">
        <v>352170</v>
      </c>
      <c r="J108" t="inlineStr">
        <is>
          <t>Nov</t>
        </is>
      </c>
      <c r="K108" t="n">
        <v>11</v>
      </c>
      <c r="L108" t="inlineStr">
        <is>
          <t>Q4</t>
        </is>
      </c>
      <c r="M108" t="n">
        <v>2024</v>
      </c>
      <c r="N108" s="22" t="n">
        <v>45597</v>
      </c>
      <c r="O108" s="24" t="n">
        <v>1.063327370304114</v>
      </c>
      <c r="P108" s="23" t="n">
        <v>22302</v>
      </c>
    </row>
    <row r="109">
      <c r="A109" t="inlineStr">
        <is>
          <t>Glucophage 500 MG</t>
        </is>
      </c>
      <c r="B109" t="inlineStr">
        <is>
          <t>Ismailia</t>
        </is>
      </c>
      <c r="C109" s="22" t="n">
        <v>45597</v>
      </c>
      <c r="D109" t="inlineStr">
        <is>
          <t>Mariam Saeed</t>
        </is>
      </c>
      <c r="E109" t="n">
        <v>77</v>
      </c>
      <c r="F109" t="n">
        <v>2592</v>
      </c>
      <c r="G109" t="n">
        <v>2864</v>
      </c>
      <c r="H109" s="23" t="n">
        <v>199584</v>
      </c>
      <c r="I109" s="23" t="n">
        <v>220528</v>
      </c>
      <c r="J109" t="inlineStr">
        <is>
          <t>Nov</t>
        </is>
      </c>
      <c r="K109" t="n">
        <v>11</v>
      </c>
      <c r="L109" t="inlineStr">
        <is>
          <t>Q4</t>
        </is>
      </c>
      <c r="M109" t="n">
        <v>2024</v>
      </c>
      <c r="N109" s="22" t="n">
        <v>45597</v>
      </c>
      <c r="O109" s="24" t="n">
        <v>0.9050279329608939</v>
      </c>
      <c r="P109" s="23" t="n">
        <v>-20944</v>
      </c>
    </row>
    <row r="110">
      <c r="A110" t="inlineStr">
        <is>
          <t>Panadol 500 MG</t>
        </is>
      </c>
      <c r="B110" t="inlineStr">
        <is>
          <t>Ismailia</t>
        </is>
      </c>
      <c r="C110" s="22" t="n">
        <v>45597</v>
      </c>
      <c r="D110" t="inlineStr">
        <is>
          <t>Mariam Saeed</t>
        </is>
      </c>
      <c r="E110" t="n">
        <v>75</v>
      </c>
      <c r="F110" t="n">
        <v>3327</v>
      </c>
      <c r="G110" t="n">
        <v>3717</v>
      </c>
      <c r="H110" s="23" t="n">
        <v>249525</v>
      </c>
      <c r="I110" s="23" t="n">
        <v>278775</v>
      </c>
      <c r="J110" t="inlineStr">
        <is>
          <t>Nov</t>
        </is>
      </c>
      <c r="K110" t="n">
        <v>11</v>
      </c>
      <c r="L110" t="inlineStr">
        <is>
          <t>Q4</t>
        </is>
      </c>
      <c r="M110" t="n">
        <v>2024</v>
      </c>
      <c r="N110" s="22" t="n">
        <v>45597</v>
      </c>
      <c r="O110" s="24" t="n">
        <v>0.8950766747376917</v>
      </c>
      <c r="P110" s="23" t="n">
        <v>-29250</v>
      </c>
    </row>
    <row r="111">
      <c r="A111" t="inlineStr">
        <is>
          <t>Panadol 250 MG</t>
        </is>
      </c>
      <c r="B111" t="inlineStr">
        <is>
          <t>Ismailia</t>
        </is>
      </c>
      <c r="C111" s="22" t="n">
        <v>45597</v>
      </c>
      <c r="D111" t="inlineStr">
        <is>
          <t>Mariam Saeed</t>
        </is>
      </c>
      <c r="E111" t="n">
        <v>45</v>
      </c>
      <c r="F111" t="n">
        <v>2176</v>
      </c>
      <c r="G111" t="n">
        <v>2548</v>
      </c>
      <c r="H111" s="23" t="n">
        <v>97920</v>
      </c>
      <c r="I111" s="23" t="n">
        <v>114660</v>
      </c>
      <c r="J111" t="inlineStr">
        <is>
          <t>Nov</t>
        </is>
      </c>
      <c r="K111" t="n">
        <v>11</v>
      </c>
      <c r="L111" t="inlineStr">
        <is>
          <t>Q4</t>
        </is>
      </c>
      <c r="M111" t="n">
        <v>2024</v>
      </c>
      <c r="N111" s="22" t="n">
        <v>45597</v>
      </c>
      <c r="O111" s="24" t="n">
        <v>0.8540031397174255</v>
      </c>
      <c r="P111" s="23" t="n">
        <v>-16740</v>
      </c>
    </row>
    <row r="112">
      <c r="A112" t="inlineStr">
        <is>
          <t>Augmentin 1000 MG</t>
        </is>
      </c>
      <c r="B112" t="inlineStr">
        <is>
          <t>Ismailia</t>
        </is>
      </c>
      <c r="C112" s="22" t="n">
        <v>45627</v>
      </c>
      <c r="D112" t="inlineStr">
        <is>
          <t>Mariam Saeed</t>
        </is>
      </c>
      <c r="E112" t="n">
        <v>210</v>
      </c>
      <c r="F112" t="n">
        <v>3509</v>
      </c>
      <c r="G112" t="n">
        <v>3275</v>
      </c>
      <c r="H112" s="23" t="n">
        <v>736890</v>
      </c>
      <c r="I112" s="23" t="n">
        <v>687750</v>
      </c>
      <c r="J112" t="inlineStr">
        <is>
          <t>Dec</t>
        </is>
      </c>
      <c r="K112" t="n">
        <v>12</v>
      </c>
      <c r="L112" t="inlineStr">
        <is>
          <t>Q4</t>
        </is>
      </c>
      <c r="M112" t="n">
        <v>2024</v>
      </c>
      <c r="N112" s="22" t="n">
        <v>45627</v>
      </c>
      <c r="O112" s="24" t="n">
        <v>1.071450381679389</v>
      </c>
      <c r="P112" s="23" t="n">
        <v>49140</v>
      </c>
    </row>
    <row r="113">
      <c r="A113" t="inlineStr">
        <is>
          <t>Augmentin 625 MG</t>
        </is>
      </c>
      <c r="B113" t="inlineStr">
        <is>
          <t>Ismailia</t>
        </is>
      </c>
      <c r="C113" s="22" t="n">
        <v>45627</v>
      </c>
      <c r="D113" t="inlineStr">
        <is>
          <t>Mariam Saeed</t>
        </is>
      </c>
      <c r="E113" t="n">
        <v>117</v>
      </c>
      <c r="F113" t="n">
        <v>3534</v>
      </c>
      <c r="G113" t="n">
        <v>3642</v>
      </c>
      <c r="H113" s="23" t="n">
        <v>413478</v>
      </c>
      <c r="I113" s="23" t="n">
        <v>426114</v>
      </c>
      <c r="J113" t="inlineStr">
        <is>
          <t>Dec</t>
        </is>
      </c>
      <c r="K113" t="n">
        <v>12</v>
      </c>
      <c r="L113" t="inlineStr">
        <is>
          <t>Q4</t>
        </is>
      </c>
      <c r="M113" t="n">
        <v>2024</v>
      </c>
      <c r="N113" s="22" t="n">
        <v>45627</v>
      </c>
      <c r="O113" s="24" t="n">
        <v>0.9703459637561779</v>
      </c>
      <c r="P113" s="23" t="n">
        <v>-12636</v>
      </c>
    </row>
    <row r="114">
      <c r="A114" t="inlineStr">
        <is>
          <t>Cataflam 50 MG</t>
        </is>
      </c>
      <c r="B114" t="inlineStr">
        <is>
          <t>Ismailia</t>
        </is>
      </c>
      <c r="C114" s="22" t="n">
        <v>45627</v>
      </c>
      <c r="D114" t="inlineStr">
        <is>
          <t>Mariam Saeed</t>
        </is>
      </c>
      <c r="E114" t="n">
        <v>86</v>
      </c>
      <c r="F114" t="n">
        <v>3659</v>
      </c>
      <c r="G114" t="n">
        <v>3572</v>
      </c>
      <c r="H114" s="23" t="n">
        <v>314674</v>
      </c>
      <c r="I114" s="23" t="n">
        <v>307192</v>
      </c>
      <c r="J114" t="inlineStr">
        <is>
          <t>Dec</t>
        </is>
      </c>
      <c r="K114" t="n">
        <v>12</v>
      </c>
      <c r="L114" t="inlineStr">
        <is>
          <t>Q4</t>
        </is>
      </c>
      <c r="M114" t="n">
        <v>2024</v>
      </c>
      <c r="N114" s="22" t="n">
        <v>45627</v>
      </c>
      <c r="O114" s="24" t="n">
        <v>1.024356103023516</v>
      </c>
      <c r="P114" s="23" t="n">
        <v>7482</v>
      </c>
    </row>
    <row r="115">
      <c r="A115" t="inlineStr">
        <is>
          <t>Cataflam 25 MG</t>
        </is>
      </c>
      <c r="B115" t="inlineStr">
        <is>
          <t>Ismailia</t>
        </is>
      </c>
      <c r="C115" s="22" t="n">
        <v>45627</v>
      </c>
      <c r="D115" t="inlineStr">
        <is>
          <t>Mariam Saeed</t>
        </is>
      </c>
      <c r="E115" t="n">
        <v>34</v>
      </c>
      <c r="F115" t="n">
        <v>2898</v>
      </c>
      <c r="G115" t="n">
        <v>3358</v>
      </c>
      <c r="H115" s="23" t="n">
        <v>98532</v>
      </c>
      <c r="I115" s="23" t="n">
        <v>114172</v>
      </c>
      <c r="J115" t="inlineStr">
        <is>
          <t>Dec</t>
        </is>
      </c>
      <c r="K115" t="n">
        <v>12</v>
      </c>
      <c r="L115" t="inlineStr">
        <is>
          <t>Q4</t>
        </is>
      </c>
      <c r="M115" t="n">
        <v>2024</v>
      </c>
      <c r="N115" s="22" t="n">
        <v>45627</v>
      </c>
      <c r="O115" s="24" t="n">
        <v>0.863013698630137</v>
      </c>
      <c r="P115" s="23" t="n">
        <v>-15640</v>
      </c>
    </row>
    <row r="116">
      <c r="A116" t="inlineStr">
        <is>
          <t>Concor 10 MG</t>
        </is>
      </c>
      <c r="B116" t="inlineStr">
        <is>
          <t>Ismailia</t>
        </is>
      </c>
      <c r="C116" s="22" t="n">
        <v>45627</v>
      </c>
      <c r="D116" t="inlineStr">
        <is>
          <t>Mariam Saeed</t>
        </is>
      </c>
      <c r="E116" t="n">
        <v>99</v>
      </c>
      <c r="F116" t="n">
        <v>2057</v>
      </c>
      <c r="G116" t="n">
        <v>2091</v>
      </c>
      <c r="H116" s="23" t="n">
        <v>203643</v>
      </c>
      <c r="I116" s="23" t="n">
        <v>207009</v>
      </c>
      <c r="J116" t="inlineStr">
        <is>
          <t>Dec</t>
        </is>
      </c>
      <c r="K116" t="n">
        <v>12</v>
      </c>
      <c r="L116" t="inlineStr">
        <is>
          <t>Q4</t>
        </is>
      </c>
      <c r="M116" t="n">
        <v>2024</v>
      </c>
      <c r="N116" s="22" t="n">
        <v>45627</v>
      </c>
      <c r="O116" s="24" t="n">
        <v>0.983739837398374</v>
      </c>
      <c r="P116" s="23" t="n">
        <v>-3366</v>
      </c>
    </row>
    <row r="117">
      <c r="A117" t="inlineStr">
        <is>
          <t>Concor 5 MG</t>
        </is>
      </c>
      <c r="B117" t="inlineStr">
        <is>
          <t>Ismailia</t>
        </is>
      </c>
      <c r="C117" s="22" t="n">
        <v>45627</v>
      </c>
      <c r="D117" t="inlineStr">
        <is>
          <t>Mariam Saeed</t>
        </is>
      </c>
      <c r="E117" t="n">
        <v>72</v>
      </c>
      <c r="F117" t="n">
        <v>3288</v>
      </c>
      <c r="G117" t="n">
        <v>3553</v>
      </c>
      <c r="H117" s="23" t="n">
        <v>236736</v>
      </c>
      <c r="I117" s="23" t="n">
        <v>255816</v>
      </c>
      <c r="J117" t="inlineStr">
        <is>
          <t>Dec</t>
        </is>
      </c>
      <c r="K117" t="n">
        <v>12</v>
      </c>
      <c r="L117" t="inlineStr">
        <is>
          <t>Q4</t>
        </is>
      </c>
      <c r="M117" t="n">
        <v>2024</v>
      </c>
      <c r="N117" s="22" t="n">
        <v>45627</v>
      </c>
      <c r="O117" s="24" t="n">
        <v>0.9254151421334084</v>
      </c>
      <c r="P117" s="23" t="n">
        <v>-19080</v>
      </c>
    </row>
    <row r="118">
      <c r="A118" t="inlineStr">
        <is>
          <t>Glucophage 1000 MG</t>
        </is>
      </c>
      <c r="B118" t="inlineStr">
        <is>
          <t>Ismailia</t>
        </is>
      </c>
      <c r="C118" s="22" t="n">
        <v>45627</v>
      </c>
      <c r="D118" t="inlineStr">
        <is>
          <t>Mariam Saeed</t>
        </is>
      </c>
      <c r="E118" t="n">
        <v>126</v>
      </c>
      <c r="F118" t="n">
        <v>3583</v>
      </c>
      <c r="G118" t="n">
        <v>3889</v>
      </c>
      <c r="H118" s="23" t="n">
        <v>451458</v>
      </c>
      <c r="I118" s="23" t="n">
        <v>490014</v>
      </c>
      <c r="J118" t="inlineStr">
        <is>
          <t>Dec</t>
        </is>
      </c>
      <c r="K118" t="n">
        <v>12</v>
      </c>
      <c r="L118" t="inlineStr">
        <is>
          <t>Q4</t>
        </is>
      </c>
      <c r="M118" t="n">
        <v>2024</v>
      </c>
      <c r="N118" s="22" t="n">
        <v>45627</v>
      </c>
      <c r="O118" s="24" t="n">
        <v>0.9213165338133196</v>
      </c>
      <c r="P118" s="23" t="n">
        <v>-38556</v>
      </c>
    </row>
    <row r="119">
      <c r="A119" t="inlineStr">
        <is>
          <t>Glucophage 500 MG</t>
        </is>
      </c>
      <c r="B119" t="inlineStr">
        <is>
          <t>Ismailia</t>
        </is>
      </c>
      <c r="C119" s="22" t="n">
        <v>45627</v>
      </c>
      <c r="D119" t="inlineStr">
        <is>
          <t>Mariam Saeed</t>
        </is>
      </c>
      <c r="E119" t="n">
        <v>77</v>
      </c>
      <c r="F119" t="n">
        <v>1954</v>
      </c>
      <c r="G119" t="n">
        <v>2062</v>
      </c>
      <c r="H119" s="23" t="n">
        <v>150458</v>
      </c>
      <c r="I119" s="23" t="n">
        <v>158774</v>
      </c>
      <c r="J119" t="inlineStr">
        <is>
          <t>Dec</t>
        </is>
      </c>
      <c r="K119" t="n">
        <v>12</v>
      </c>
      <c r="L119" t="inlineStr">
        <is>
          <t>Q4</t>
        </is>
      </c>
      <c r="M119" t="n">
        <v>2024</v>
      </c>
      <c r="N119" s="22" t="n">
        <v>45627</v>
      </c>
      <c r="O119" s="24" t="n">
        <v>0.9476236663433559</v>
      </c>
      <c r="P119" s="23" t="n">
        <v>-8316</v>
      </c>
    </row>
    <row r="120">
      <c r="A120" t="inlineStr">
        <is>
          <t>Panadol 500 MG</t>
        </is>
      </c>
      <c r="B120" t="inlineStr">
        <is>
          <t>Ismailia</t>
        </is>
      </c>
      <c r="C120" s="22" t="n">
        <v>45627</v>
      </c>
      <c r="D120" t="inlineStr">
        <is>
          <t>Mariam Saeed</t>
        </is>
      </c>
      <c r="E120" t="n">
        <v>75</v>
      </c>
      <c r="F120" t="n">
        <v>3133</v>
      </c>
      <c r="G120" t="n">
        <v>3685</v>
      </c>
      <c r="H120" s="23" t="n">
        <v>234975</v>
      </c>
      <c r="I120" s="23" t="n">
        <v>276375</v>
      </c>
      <c r="J120" t="inlineStr">
        <is>
          <t>Dec</t>
        </is>
      </c>
      <c r="K120" t="n">
        <v>12</v>
      </c>
      <c r="L120" t="inlineStr">
        <is>
          <t>Q4</t>
        </is>
      </c>
      <c r="M120" t="n">
        <v>2024</v>
      </c>
      <c r="N120" s="22" t="n">
        <v>45627</v>
      </c>
      <c r="O120" s="24" t="n">
        <v>0.8502035278154682</v>
      </c>
      <c r="P120" s="23" t="n">
        <v>-41400</v>
      </c>
    </row>
    <row r="121">
      <c r="A121" t="inlineStr">
        <is>
          <t>Panadol 250 MG</t>
        </is>
      </c>
      <c r="B121" t="inlineStr">
        <is>
          <t>Ismailia</t>
        </is>
      </c>
      <c r="C121" s="22" t="n">
        <v>45627</v>
      </c>
      <c r="D121" t="inlineStr">
        <is>
          <t>Mariam Saeed</t>
        </is>
      </c>
      <c r="E121" t="n">
        <v>45</v>
      </c>
      <c r="F121" t="n">
        <v>2427</v>
      </c>
      <c r="G121" t="n">
        <v>2511</v>
      </c>
      <c r="H121" s="23" t="n">
        <v>109215</v>
      </c>
      <c r="I121" s="23" t="n">
        <v>112995</v>
      </c>
      <c r="J121" t="inlineStr">
        <is>
          <t>Dec</t>
        </is>
      </c>
      <c r="K121" t="n">
        <v>12</v>
      </c>
      <c r="L121" t="inlineStr">
        <is>
          <t>Q4</t>
        </is>
      </c>
      <c r="M121" t="n">
        <v>2024</v>
      </c>
      <c r="N121" s="22" t="n">
        <v>45627</v>
      </c>
      <c r="O121" s="24" t="n">
        <v>0.9665471923536439</v>
      </c>
      <c r="P121" s="23" t="n">
        <v>-3780</v>
      </c>
    </row>
    <row r="122">
      <c r="A122" t="inlineStr">
        <is>
          <t>Augmentin 1000 MG</t>
        </is>
      </c>
      <c r="B122" t="inlineStr">
        <is>
          <t>Ismailia</t>
        </is>
      </c>
      <c r="C122" s="22" t="n">
        <v>45292</v>
      </c>
      <c r="D122" t="inlineStr">
        <is>
          <t>Mariam Saeed</t>
        </is>
      </c>
      <c r="E122" t="n">
        <v>210</v>
      </c>
      <c r="F122" t="n">
        <v>3137</v>
      </c>
      <c r="G122" t="n">
        <v>3152</v>
      </c>
      <c r="H122" s="23" t="n">
        <v>658770</v>
      </c>
      <c r="I122" s="23" t="n">
        <v>661920</v>
      </c>
      <c r="J122" t="inlineStr">
        <is>
          <t>Jan</t>
        </is>
      </c>
      <c r="K122" t="n">
        <v>1</v>
      </c>
      <c r="L122" t="inlineStr">
        <is>
          <t>Q1</t>
        </is>
      </c>
      <c r="M122" t="n">
        <v>2024</v>
      </c>
      <c r="N122" s="22" t="n">
        <v>45292</v>
      </c>
      <c r="O122" s="24" t="n">
        <v>0.995241116751269</v>
      </c>
      <c r="P122" s="23" t="n">
        <v>-3150</v>
      </c>
    </row>
    <row r="123">
      <c r="A123" t="inlineStr">
        <is>
          <t>Augmentin 625 MG</t>
        </is>
      </c>
      <c r="B123" t="inlineStr">
        <is>
          <t>Ismailia</t>
        </is>
      </c>
      <c r="C123" s="22" t="n">
        <v>45292</v>
      </c>
      <c r="D123" t="inlineStr">
        <is>
          <t>Mariam Saeed</t>
        </is>
      </c>
      <c r="E123" t="n">
        <v>117</v>
      </c>
      <c r="F123" t="n">
        <v>2933</v>
      </c>
      <c r="G123" t="n">
        <v>2822</v>
      </c>
      <c r="H123" s="23" t="n">
        <v>343161</v>
      </c>
      <c r="I123" s="23" t="n">
        <v>330174</v>
      </c>
      <c r="J123" t="inlineStr">
        <is>
          <t>Jan</t>
        </is>
      </c>
      <c r="K123" t="n">
        <v>1</v>
      </c>
      <c r="L123" t="inlineStr">
        <is>
          <t>Q1</t>
        </is>
      </c>
      <c r="M123" t="n">
        <v>2024</v>
      </c>
      <c r="N123" s="22" t="n">
        <v>45292</v>
      </c>
      <c r="O123" s="24" t="n">
        <v>1.039333805811481</v>
      </c>
      <c r="P123" s="23" t="n">
        <v>12987</v>
      </c>
    </row>
    <row r="124">
      <c r="A124" t="inlineStr">
        <is>
          <t>Cataflam 50 MG</t>
        </is>
      </c>
      <c r="B124" t="inlineStr">
        <is>
          <t>Ismailia</t>
        </is>
      </c>
      <c r="C124" s="22" t="n">
        <v>45292</v>
      </c>
      <c r="D124" t="inlineStr">
        <is>
          <t>Mariam Saeed</t>
        </is>
      </c>
      <c r="E124" t="n">
        <v>86</v>
      </c>
      <c r="F124" t="n">
        <v>2773</v>
      </c>
      <c r="G124" t="n">
        <v>3026</v>
      </c>
      <c r="H124" s="23" t="n">
        <v>238478</v>
      </c>
      <c r="I124" s="23" t="n">
        <v>260236</v>
      </c>
      <c r="J124" t="inlineStr">
        <is>
          <t>Jan</t>
        </is>
      </c>
      <c r="K124" t="n">
        <v>1</v>
      </c>
      <c r="L124" t="inlineStr">
        <is>
          <t>Q1</t>
        </is>
      </c>
      <c r="M124" t="n">
        <v>2024</v>
      </c>
      <c r="N124" s="22" t="n">
        <v>45292</v>
      </c>
      <c r="O124" s="24" t="n">
        <v>0.9163912756113681</v>
      </c>
      <c r="P124" s="23" t="n">
        <v>-21758</v>
      </c>
    </row>
    <row r="125">
      <c r="A125" t="inlineStr">
        <is>
          <t>Cataflam 25 MG</t>
        </is>
      </c>
      <c r="B125" t="inlineStr">
        <is>
          <t>Ismailia</t>
        </is>
      </c>
      <c r="C125" s="22" t="n">
        <v>45292</v>
      </c>
      <c r="D125" t="inlineStr">
        <is>
          <t>Mariam Saeed</t>
        </is>
      </c>
      <c r="E125" t="n">
        <v>34</v>
      </c>
      <c r="F125" t="n">
        <v>3189</v>
      </c>
      <c r="G125" t="n">
        <v>2973</v>
      </c>
      <c r="H125" s="23" t="n">
        <v>108426</v>
      </c>
      <c r="I125" s="23" t="n">
        <v>101082</v>
      </c>
      <c r="J125" t="inlineStr">
        <is>
          <t>Jan</t>
        </is>
      </c>
      <c r="K125" t="n">
        <v>1</v>
      </c>
      <c r="L125" t="inlineStr">
        <is>
          <t>Q1</t>
        </is>
      </c>
      <c r="M125" t="n">
        <v>2024</v>
      </c>
      <c r="N125" s="22" t="n">
        <v>45292</v>
      </c>
      <c r="O125" s="24" t="n">
        <v>1.072653884964682</v>
      </c>
      <c r="P125" s="23" t="n">
        <v>7344</v>
      </c>
    </row>
    <row r="126">
      <c r="A126" t="inlineStr">
        <is>
          <t>Concor 10 MG</t>
        </is>
      </c>
      <c r="B126" t="inlineStr">
        <is>
          <t>Ismailia</t>
        </is>
      </c>
      <c r="C126" s="22" t="n">
        <v>45292</v>
      </c>
      <c r="D126" t="inlineStr">
        <is>
          <t>Mariam Saeed</t>
        </is>
      </c>
      <c r="E126" t="n">
        <v>99</v>
      </c>
      <c r="F126" t="n">
        <v>3211</v>
      </c>
      <c r="G126" t="n">
        <v>2933</v>
      </c>
      <c r="H126" s="23" t="n">
        <v>317889</v>
      </c>
      <c r="I126" s="23" t="n">
        <v>290367</v>
      </c>
      <c r="J126" t="inlineStr">
        <is>
          <t>Jan</t>
        </is>
      </c>
      <c r="K126" t="n">
        <v>1</v>
      </c>
      <c r="L126" t="inlineStr">
        <is>
          <t>Q1</t>
        </is>
      </c>
      <c r="M126" t="n">
        <v>2024</v>
      </c>
      <c r="N126" s="22" t="n">
        <v>45292</v>
      </c>
      <c r="O126" s="24" t="n">
        <v>1.094783498124787</v>
      </c>
      <c r="P126" s="23" t="n">
        <v>27522</v>
      </c>
    </row>
    <row r="127">
      <c r="A127" t="inlineStr">
        <is>
          <t>Concor 5 MG</t>
        </is>
      </c>
      <c r="B127" t="inlineStr">
        <is>
          <t>Ismailia</t>
        </is>
      </c>
      <c r="C127" s="22" t="n">
        <v>45292</v>
      </c>
      <c r="D127" t="inlineStr">
        <is>
          <t>Mariam Saeed</t>
        </is>
      </c>
      <c r="E127" t="n">
        <v>72</v>
      </c>
      <c r="F127" t="n">
        <v>3677</v>
      </c>
      <c r="G127" t="n">
        <v>3777</v>
      </c>
      <c r="H127" s="23" t="n">
        <v>264744</v>
      </c>
      <c r="I127" s="23" t="n">
        <v>271944</v>
      </c>
      <c r="J127" t="inlineStr">
        <is>
          <t>Jan</t>
        </is>
      </c>
      <c r="K127" t="n">
        <v>1</v>
      </c>
      <c r="L127" t="inlineStr">
        <is>
          <t>Q1</t>
        </is>
      </c>
      <c r="M127" t="n">
        <v>2024</v>
      </c>
      <c r="N127" s="22" t="n">
        <v>45292</v>
      </c>
      <c r="O127" s="24" t="n">
        <v>0.973523960815462</v>
      </c>
      <c r="P127" s="23" t="n">
        <v>-7200</v>
      </c>
    </row>
    <row r="128">
      <c r="A128" t="inlineStr">
        <is>
          <t>Glucophage 1000 MG</t>
        </is>
      </c>
      <c r="B128" t="inlineStr">
        <is>
          <t>Ismailia</t>
        </is>
      </c>
      <c r="C128" s="22" t="n">
        <v>45292</v>
      </c>
      <c r="D128" t="inlineStr">
        <is>
          <t>Mariam Saeed</t>
        </is>
      </c>
      <c r="E128" t="n">
        <v>126</v>
      </c>
      <c r="F128" t="n">
        <v>2299</v>
      </c>
      <c r="G128" t="n">
        <v>2120</v>
      </c>
      <c r="H128" s="23" t="n">
        <v>289674</v>
      </c>
      <c r="I128" s="23" t="n">
        <v>267120</v>
      </c>
      <c r="J128" t="inlineStr">
        <is>
          <t>Jan</t>
        </is>
      </c>
      <c r="K128" t="n">
        <v>1</v>
      </c>
      <c r="L128" t="inlineStr">
        <is>
          <t>Q1</t>
        </is>
      </c>
      <c r="M128" t="n">
        <v>2024</v>
      </c>
      <c r="N128" s="22" t="n">
        <v>45292</v>
      </c>
      <c r="O128" s="24" t="n">
        <v>1.084433962264151</v>
      </c>
      <c r="P128" s="23" t="n">
        <v>22554</v>
      </c>
    </row>
    <row r="129">
      <c r="A129" t="inlineStr">
        <is>
          <t>Glucophage 500 MG</t>
        </is>
      </c>
      <c r="B129" t="inlineStr">
        <is>
          <t>Ismailia</t>
        </is>
      </c>
      <c r="C129" s="22" t="n">
        <v>45292</v>
      </c>
      <c r="D129" t="inlineStr">
        <is>
          <t>Mariam Saeed</t>
        </is>
      </c>
      <c r="E129" t="n">
        <v>77</v>
      </c>
      <c r="F129" t="n">
        <v>2898</v>
      </c>
      <c r="G129" t="n">
        <v>3408</v>
      </c>
      <c r="H129" s="23" t="n">
        <v>223146</v>
      </c>
      <c r="I129" s="23" t="n">
        <v>262416</v>
      </c>
      <c r="J129" t="inlineStr">
        <is>
          <t>Jan</t>
        </is>
      </c>
      <c r="K129" t="n">
        <v>1</v>
      </c>
      <c r="L129" t="inlineStr">
        <is>
          <t>Q1</t>
        </is>
      </c>
      <c r="M129" t="n">
        <v>2024</v>
      </c>
      <c r="N129" s="22" t="n">
        <v>45292</v>
      </c>
      <c r="O129" s="24" t="n">
        <v>0.8503521126760564</v>
      </c>
      <c r="P129" s="23" t="n">
        <v>-39270</v>
      </c>
    </row>
    <row r="130">
      <c r="A130" t="inlineStr">
        <is>
          <t>Panadol 500 MG</t>
        </is>
      </c>
      <c r="B130" t="inlineStr">
        <is>
          <t>Ismailia</t>
        </is>
      </c>
      <c r="C130" s="22" t="n">
        <v>45292</v>
      </c>
      <c r="D130" t="inlineStr">
        <is>
          <t>Mariam Saeed</t>
        </is>
      </c>
      <c r="E130" t="n">
        <v>75</v>
      </c>
      <c r="F130" t="n">
        <v>3120</v>
      </c>
      <c r="G130" t="n">
        <v>3637</v>
      </c>
      <c r="H130" s="23" t="n">
        <v>234000</v>
      </c>
      <c r="I130" s="23" t="n">
        <v>272775</v>
      </c>
      <c r="J130" t="inlineStr">
        <is>
          <t>Jan</t>
        </is>
      </c>
      <c r="K130" t="n">
        <v>1</v>
      </c>
      <c r="L130" t="inlineStr">
        <is>
          <t>Q1</t>
        </is>
      </c>
      <c r="M130" t="n">
        <v>2024</v>
      </c>
      <c r="N130" s="22" t="n">
        <v>45292</v>
      </c>
      <c r="O130" s="24" t="n">
        <v>0.8578498762716524</v>
      </c>
      <c r="P130" s="23" t="n">
        <v>-38775</v>
      </c>
    </row>
    <row r="131">
      <c r="A131" t="inlineStr">
        <is>
          <t>Panadol 250 MG</t>
        </is>
      </c>
      <c r="B131" t="inlineStr">
        <is>
          <t>Ismailia</t>
        </is>
      </c>
      <c r="C131" s="22" t="n">
        <v>45292</v>
      </c>
      <c r="D131" t="inlineStr">
        <is>
          <t>Mariam Saeed</t>
        </is>
      </c>
      <c r="E131" t="n">
        <v>45</v>
      </c>
      <c r="F131" t="n">
        <v>2840</v>
      </c>
      <c r="G131" t="n">
        <v>3061</v>
      </c>
      <c r="H131" s="23" t="n">
        <v>127800</v>
      </c>
      <c r="I131" s="23" t="n">
        <v>137745</v>
      </c>
      <c r="J131" t="inlineStr">
        <is>
          <t>Jan</t>
        </is>
      </c>
      <c r="K131" t="n">
        <v>1</v>
      </c>
      <c r="L131" t="inlineStr">
        <is>
          <t>Q1</t>
        </is>
      </c>
      <c r="M131" t="n">
        <v>2024</v>
      </c>
      <c r="N131" s="22" t="n">
        <v>45292</v>
      </c>
      <c r="O131" s="24" t="n">
        <v>0.9278013721006207</v>
      </c>
      <c r="P131" s="23" t="n">
        <v>-9945</v>
      </c>
    </row>
    <row r="132">
      <c r="A132" t="inlineStr">
        <is>
          <t>Augmentin 1000 MG</t>
        </is>
      </c>
      <c r="B132" t="inlineStr">
        <is>
          <t>Ismailia</t>
        </is>
      </c>
      <c r="C132" s="22" t="n">
        <v>45323</v>
      </c>
      <c r="D132" t="inlineStr">
        <is>
          <t>Mariam Saeed</t>
        </is>
      </c>
      <c r="E132" t="n">
        <v>210</v>
      </c>
      <c r="F132" t="n">
        <v>2986</v>
      </c>
      <c r="G132" t="n">
        <v>2963</v>
      </c>
      <c r="H132" s="23" t="n">
        <v>627060</v>
      </c>
      <c r="I132" s="23" t="n">
        <v>622230</v>
      </c>
      <c r="J132" t="inlineStr">
        <is>
          <t>Feb</t>
        </is>
      </c>
      <c r="K132" t="n">
        <v>2</v>
      </c>
      <c r="L132" t="inlineStr">
        <is>
          <t>Q1</t>
        </is>
      </c>
      <c r="M132" t="n">
        <v>2024</v>
      </c>
      <c r="N132" s="22" t="n">
        <v>45323</v>
      </c>
      <c r="O132" s="24" t="n">
        <v>1.007762402969963</v>
      </c>
      <c r="P132" s="23" t="n">
        <v>4830</v>
      </c>
    </row>
    <row r="133">
      <c r="A133" t="inlineStr">
        <is>
          <t>Augmentin 625 MG</t>
        </is>
      </c>
      <c r="B133" t="inlineStr">
        <is>
          <t>Ismailia</t>
        </is>
      </c>
      <c r="C133" s="22" t="n">
        <v>45323</v>
      </c>
      <c r="D133" t="inlineStr">
        <is>
          <t>Mariam Saeed</t>
        </is>
      </c>
      <c r="E133" t="n">
        <v>117</v>
      </c>
      <c r="F133" t="n">
        <v>1809</v>
      </c>
      <c r="G133" t="n">
        <v>2068</v>
      </c>
      <c r="H133" s="23" t="n">
        <v>211653</v>
      </c>
      <c r="I133" s="23" t="n">
        <v>241956</v>
      </c>
      <c r="J133" t="inlineStr">
        <is>
          <t>Feb</t>
        </is>
      </c>
      <c r="K133" t="n">
        <v>2</v>
      </c>
      <c r="L133" t="inlineStr">
        <is>
          <t>Q1</t>
        </is>
      </c>
      <c r="M133" t="n">
        <v>2024</v>
      </c>
      <c r="N133" s="22" t="n">
        <v>45323</v>
      </c>
      <c r="O133" s="24" t="n">
        <v>0.8747582205029013</v>
      </c>
      <c r="P133" s="23" t="n">
        <v>-30303</v>
      </c>
    </row>
    <row r="134">
      <c r="A134" t="inlineStr">
        <is>
          <t>Cataflam 50 MG</t>
        </is>
      </c>
      <c r="B134" t="inlineStr">
        <is>
          <t>Ismailia</t>
        </is>
      </c>
      <c r="C134" s="22" t="n">
        <v>45323</v>
      </c>
      <c r="D134" t="inlineStr">
        <is>
          <t>Mariam Saeed</t>
        </is>
      </c>
      <c r="E134" t="n">
        <v>86</v>
      </c>
      <c r="F134" t="n">
        <v>3408</v>
      </c>
      <c r="G134" t="n">
        <v>3152</v>
      </c>
      <c r="H134" s="23" t="n">
        <v>293088</v>
      </c>
      <c r="I134" s="23" t="n">
        <v>271072</v>
      </c>
      <c r="J134" t="inlineStr">
        <is>
          <t>Feb</t>
        </is>
      </c>
      <c r="K134" t="n">
        <v>2</v>
      </c>
      <c r="L134" t="inlineStr">
        <is>
          <t>Q1</t>
        </is>
      </c>
      <c r="M134" t="n">
        <v>2024</v>
      </c>
      <c r="N134" s="22" t="n">
        <v>45323</v>
      </c>
      <c r="O134" s="24" t="n">
        <v>1.081218274111675</v>
      </c>
      <c r="P134" s="23" t="n">
        <v>22016</v>
      </c>
    </row>
    <row r="135">
      <c r="A135" t="inlineStr">
        <is>
          <t>Cataflam 25 MG</t>
        </is>
      </c>
      <c r="B135" t="inlineStr">
        <is>
          <t>Ismailia</t>
        </is>
      </c>
      <c r="C135" s="22" t="n">
        <v>45323</v>
      </c>
      <c r="D135" t="inlineStr">
        <is>
          <t>Mariam Saeed</t>
        </is>
      </c>
      <c r="E135" t="n">
        <v>34</v>
      </c>
      <c r="F135" t="n">
        <v>2172</v>
      </c>
      <c r="G135" t="n">
        <v>2195</v>
      </c>
      <c r="H135" s="23" t="n">
        <v>73848</v>
      </c>
      <c r="I135" s="23" t="n">
        <v>74630</v>
      </c>
      <c r="J135" t="inlineStr">
        <is>
          <t>Feb</t>
        </is>
      </c>
      <c r="K135" t="n">
        <v>2</v>
      </c>
      <c r="L135" t="inlineStr">
        <is>
          <t>Q1</t>
        </is>
      </c>
      <c r="M135" t="n">
        <v>2024</v>
      </c>
      <c r="N135" s="22" t="n">
        <v>45323</v>
      </c>
      <c r="O135" s="24" t="n">
        <v>0.9895216400911162</v>
      </c>
      <c r="P135" s="23" t="n">
        <v>-782</v>
      </c>
    </row>
    <row r="136">
      <c r="A136" t="inlineStr">
        <is>
          <t>Concor 10 MG</t>
        </is>
      </c>
      <c r="B136" t="inlineStr">
        <is>
          <t>Ismailia</t>
        </is>
      </c>
      <c r="C136" s="22" t="n">
        <v>45323</v>
      </c>
      <c r="D136" t="inlineStr">
        <is>
          <t>Mariam Saeed</t>
        </is>
      </c>
      <c r="E136" t="n">
        <v>99</v>
      </c>
      <c r="F136" t="n">
        <v>1952</v>
      </c>
      <c r="G136" t="n">
        <v>2139</v>
      </c>
      <c r="H136" s="23" t="n">
        <v>193248</v>
      </c>
      <c r="I136" s="23" t="n">
        <v>211761</v>
      </c>
      <c r="J136" t="inlineStr">
        <is>
          <t>Feb</t>
        </is>
      </c>
      <c r="K136" t="n">
        <v>2</v>
      </c>
      <c r="L136" t="inlineStr">
        <is>
          <t>Q1</t>
        </is>
      </c>
      <c r="M136" t="n">
        <v>2024</v>
      </c>
      <c r="N136" s="22" t="n">
        <v>45323</v>
      </c>
      <c r="O136" s="24" t="n">
        <v>0.9125759700794764</v>
      </c>
      <c r="P136" s="23" t="n">
        <v>-18513</v>
      </c>
    </row>
    <row r="137">
      <c r="A137" t="inlineStr">
        <is>
          <t>Concor 5 MG</t>
        </is>
      </c>
      <c r="B137" t="inlineStr">
        <is>
          <t>Ismailia</t>
        </is>
      </c>
      <c r="C137" s="22" t="n">
        <v>45323</v>
      </c>
      <c r="D137" t="inlineStr">
        <is>
          <t>Mariam Saeed</t>
        </is>
      </c>
      <c r="E137" t="n">
        <v>72</v>
      </c>
      <c r="F137" t="n">
        <v>3126</v>
      </c>
      <c r="G137" t="n">
        <v>3467</v>
      </c>
      <c r="H137" s="23" t="n">
        <v>225072</v>
      </c>
      <c r="I137" s="23" t="n">
        <v>249624</v>
      </c>
      <c r="J137" t="inlineStr">
        <is>
          <t>Feb</t>
        </is>
      </c>
      <c r="K137" t="n">
        <v>2</v>
      </c>
      <c r="L137" t="inlineStr">
        <is>
          <t>Q1</t>
        </is>
      </c>
      <c r="M137" t="n">
        <v>2024</v>
      </c>
      <c r="N137" s="22" t="n">
        <v>45323</v>
      </c>
      <c r="O137" s="24" t="n">
        <v>0.9016440726853188</v>
      </c>
      <c r="P137" s="23" t="n">
        <v>-24552</v>
      </c>
    </row>
    <row r="138">
      <c r="A138" t="inlineStr">
        <is>
          <t>Glucophage 1000 MG</t>
        </is>
      </c>
      <c r="B138" t="inlineStr">
        <is>
          <t>Ismailia</t>
        </is>
      </c>
      <c r="C138" s="22" t="n">
        <v>45323</v>
      </c>
      <c r="D138" t="inlineStr">
        <is>
          <t>Mariam Saeed</t>
        </is>
      </c>
      <c r="E138" t="n">
        <v>126</v>
      </c>
      <c r="F138" t="n">
        <v>2017</v>
      </c>
      <c r="G138" t="n">
        <v>2282</v>
      </c>
      <c r="H138" s="23" t="n">
        <v>254142</v>
      </c>
      <c r="I138" s="23" t="n">
        <v>287532</v>
      </c>
      <c r="J138" t="inlineStr">
        <is>
          <t>Feb</t>
        </is>
      </c>
      <c r="K138" t="n">
        <v>2</v>
      </c>
      <c r="L138" t="inlineStr">
        <is>
          <t>Q1</t>
        </is>
      </c>
      <c r="M138" t="n">
        <v>2024</v>
      </c>
      <c r="N138" s="22" t="n">
        <v>45323</v>
      </c>
      <c r="O138" s="24" t="n">
        <v>0.8838737949167397</v>
      </c>
      <c r="P138" s="23" t="n">
        <v>-33390</v>
      </c>
    </row>
    <row r="139">
      <c r="A139" t="inlineStr">
        <is>
          <t>Glucophage 500 MG</t>
        </is>
      </c>
      <c r="B139" t="inlineStr">
        <is>
          <t>Ismailia</t>
        </is>
      </c>
      <c r="C139" s="22" t="n">
        <v>45323</v>
      </c>
      <c r="D139" t="inlineStr">
        <is>
          <t>Mariam Saeed</t>
        </is>
      </c>
      <c r="E139" t="n">
        <v>77</v>
      </c>
      <c r="F139" t="n">
        <v>2210</v>
      </c>
      <c r="G139" t="n">
        <v>2311</v>
      </c>
      <c r="H139" s="23" t="n">
        <v>170170</v>
      </c>
      <c r="I139" s="23" t="n">
        <v>177947</v>
      </c>
      <c r="J139" t="inlineStr">
        <is>
          <t>Feb</t>
        </is>
      </c>
      <c r="K139" t="n">
        <v>2</v>
      </c>
      <c r="L139" t="inlineStr">
        <is>
          <t>Q1</t>
        </is>
      </c>
      <c r="M139" t="n">
        <v>2024</v>
      </c>
      <c r="N139" s="22" t="n">
        <v>45323</v>
      </c>
      <c r="O139" s="24" t="n">
        <v>0.9562959757680658</v>
      </c>
      <c r="P139" s="23" t="n">
        <v>-7777</v>
      </c>
    </row>
    <row r="140">
      <c r="A140" t="inlineStr">
        <is>
          <t>Panadol 500 MG</t>
        </is>
      </c>
      <c r="B140" t="inlineStr">
        <is>
          <t>Ismailia</t>
        </is>
      </c>
      <c r="C140" s="22" t="n">
        <v>45323</v>
      </c>
      <c r="D140" t="inlineStr">
        <is>
          <t>Mariam Saeed</t>
        </is>
      </c>
      <c r="E140" t="n">
        <v>75</v>
      </c>
      <c r="F140" t="n">
        <v>2426</v>
      </c>
      <c r="G140" t="n">
        <v>2745</v>
      </c>
      <c r="H140" s="23" t="n">
        <v>181950</v>
      </c>
      <c r="I140" s="23" t="n">
        <v>205875</v>
      </c>
      <c r="J140" t="inlineStr">
        <is>
          <t>Feb</t>
        </is>
      </c>
      <c r="K140" t="n">
        <v>2</v>
      </c>
      <c r="L140" t="inlineStr">
        <is>
          <t>Q1</t>
        </is>
      </c>
      <c r="M140" t="n">
        <v>2024</v>
      </c>
      <c r="N140" s="22" t="n">
        <v>45323</v>
      </c>
      <c r="O140" s="24" t="n">
        <v>0.8837887067395264</v>
      </c>
      <c r="P140" s="23" t="n">
        <v>-23925</v>
      </c>
    </row>
    <row r="141">
      <c r="A141" t="inlineStr">
        <is>
          <t>Panadol 250 MG</t>
        </is>
      </c>
      <c r="B141" t="inlineStr">
        <is>
          <t>Ismailia</t>
        </is>
      </c>
      <c r="C141" s="22" t="n">
        <v>45323</v>
      </c>
      <c r="D141" t="inlineStr">
        <is>
          <t>Mariam Saeed</t>
        </is>
      </c>
      <c r="E141" t="n">
        <v>45</v>
      </c>
      <c r="F141" t="n">
        <v>3394</v>
      </c>
      <c r="G141" t="n">
        <v>3558</v>
      </c>
      <c r="H141" s="23" t="n">
        <v>152730</v>
      </c>
      <c r="I141" s="23" t="n">
        <v>160110</v>
      </c>
      <c r="J141" t="inlineStr">
        <is>
          <t>Feb</t>
        </is>
      </c>
      <c r="K141" t="n">
        <v>2</v>
      </c>
      <c r="L141" t="inlineStr">
        <is>
          <t>Q1</t>
        </is>
      </c>
      <c r="M141" t="n">
        <v>2024</v>
      </c>
      <c r="N141" s="22" t="n">
        <v>45323</v>
      </c>
      <c r="O141" s="24" t="n">
        <v>0.9539066891512086</v>
      </c>
      <c r="P141" s="23" t="n">
        <v>-7380</v>
      </c>
    </row>
    <row r="142">
      <c r="A142" t="inlineStr">
        <is>
          <t>Augmentin 1000 MG</t>
        </is>
      </c>
      <c r="B142" t="inlineStr">
        <is>
          <t>Ismailia</t>
        </is>
      </c>
      <c r="C142" s="22" t="n">
        <v>45352</v>
      </c>
      <c r="D142" t="inlineStr">
        <is>
          <t>Mariam Saeed</t>
        </is>
      </c>
      <c r="E142" t="n">
        <v>210</v>
      </c>
      <c r="F142" t="n">
        <v>3319</v>
      </c>
      <c r="G142" t="n">
        <v>3571</v>
      </c>
      <c r="H142" s="23" t="n">
        <v>696990</v>
      </c>
      <c r="I142" s="23" t="n">
        <v>749910</v>
      </c>
      <c r="J142" t="inlineStr">
        <is>
          <t>Mar</t>
        </is>
      </c>
      <c r="K142" t="n">
        <v>3</v>
      </c>
      <c r="L142" t="inlineStr">
        <is>
          <t>Q1</t>
        </is>
      </c>
      <c r="M142" t="n">
        <v>2024</v>
      </c>
      <c r="N142" s="22" t="n">
        <v>45352</v>
      </c>
      <c r="O142" s="24" t="n">
        <v>0.9294315317838141</v>
      </c>
      <c r="P142" s="23" t="n">
        <v>-52920</v>
      </c>
    </row>
    <row r="143">
      <c r="A143" t="inlineStr">
        <is>
          <t>Augmentin 625 MG</t>
        </is>
      </c>
      <c r="B143" t="inlineStr">
        <is>
          <t>Ismailia</t>
        </is>
      </c>
      <c r="C143" s="22" t="n">
        <v>45352</v>
      </c>
      <c r="D143" t="inlineStr">
        <is>
          <t>Mariam Saeed</t>
        </is>
      </c>
      <c r="E143" t="n">
        <v>117</v>
      </c>
      <c r="F143" t="n">
        <v>2323</v>
      </c>
      <c r="G143" t="n">
        <v>2621</v>
      </c>
      <c r="H143" s="23" t="n">
        <v>271791</v>
      </c>
      <c r="I143" s="23" t="n">
        <v>306657</v>
      </c>
      <c r="J143" t="inlineStr">
        <is>
          <t>Mar</t>
        </is>
      </c>
      <c r="K143" t="n">
        <v>3</v>
      </c>
      <c r="L143" t="inlineStr">
        <is>
          <t>Q1</t>
        </is>
      </c>
      <c r="M143" t="n">
        <v>2024</v>
      </c>
      <c r="N143" s="22" t="n">
        <v>45352</v>
      </c>
      <c r="O143" s="24" t="n">
        <v>0.8863029378099961</v>
      </c>
      <c r="P143" s="23" t="n">
        <v>-34866</v>
      </c>
    </row>
    <row r="144">
      <c r="A144" t="inlineStr">
        <is>
          <t>Cataflam 50 MG</t>
        </is>
      </c>
      <c r="B144" t="inlineStr">
        <is>
          <t>Ismailia</t>
        </is>
      </c>
      <c r="C144" s="22" t="n">
        <v>45352</v>
      </c>
      <c r="D144" t="inlineStr">
        <is>
          <t>Mariam Saeed</t>
        </is>
      </c>
      <c r="E144" t="n">
        <v>86</v>
      </c>
      <c r="F144" t="n">
        <v>3484</v>
      </c>
      <c r="G144" t="n">
        <v>3200</v>
      </c>
      <c r="H144" s="23" t="n">
        <v>299624</v>
      </c>
      <c r="I144" s="23" t="n">
        <v>275200</v>
      </c>
      <c r="J144" t="inlineStr">
        <is>
          <t>Mar</t>
        </is>
      </c>
      <c r="K144" t="n">
        <v>3</v>
      </c>
      <c r="L144" t="inlineStr">
        <is>
          <t>Q1</t>
        </is>
      </c>
      <c r="M144" t="n">
        <v>2024</v>
      </c>
      <c r="N144" s="22" t="n">
        <v>45352</v>
      </c>
      <c r="O144" s="24" t="n">
        <v>1.08875</v>
      </c>
      <c r="P144" s="23" t="n">
        <v>24424</v>
      </c>
    </row>
    <row r="145">
      <c r="A145" t="inlineStr">
        <is>
          <t>Cataflam 25 MG</t>
        </is>
      </c>
      <c r="B145" t="inlineStr">
        <is>
          <t>Ismailia</t>
        </is>
      </c>
      <c r="C145" s="22" t="n">
        <v>45352</v>
      </c>
      <c r="D145" t="inlineStr">
        <is>
          <t>Mariam Saeed</t>
        </is>
      </c>
      <c r="E145" t="n">
        <v>34</v>
      </c>
      <c r="F145" t="n">
        <v>2942</v>
      </c>
      <c r="G145" t="n">
        <v>3385</v>
      </c>
      <c r="H145" s="23" t="n">
        <v>100028</v>
      </c>
      <c r="I145" s="23" t="n">
        <v>115090</v>
      </c>
      <c r="J145" t="inlineStr">
        <is>
          <t>Mar</t>
        </is>
      </c>
      <c r="K145" t="n">
        <v>3</v>
      </c>
      <c r="L145" t="inlineStr">
        <is>
          <t>Q1</t>
        </is>
      </c>
      <c r="M145" t="n">
        <v>2024</v>
      </c>
      <c r="N145" s="22" t="n">
        <v>45352</v>
      </c>
      <c r="O145" s="24" t="n">
        <v>0.8691285081240768</v>
      </c>
      <c r="P145" s="23" t="n">
        <v>-15062</v>
      </c>
    </row>
    <row r="146">
      <c r="A146" t="inlineStr">
        <is>
          <t>Concor 10 MG</t>
        </is>
      </c>
      <c r="B146" t="inlineStr">
        <is>
          <t>Ismailia</t>
        </is>
      </c>
      <c r="C146" s="22" t="n">
        <v>45352</v>
      </c>
      <c r="D146" t="inlineStr">
        <is>
          <t>Mariam Saeed</t>
        </is>
      </c>
      <c r="E146" t="n">
        <v>99</v>
      </c>
      <c r="F146" t="n">
        <v>2021</v>
      </c>
      <c r="G146" t="n">
        <v>2313</v>
      </c>
      <c r="H146" s="23" t="n">
        <v>200079</v>
      </c>
      <c r="I146" s="23" t="n">
        <v>228987</v>
      </c>
      <c r="J146" t="inlineStr">
        <is>
          <t>Mar</t>
        </is>
      </c>
      <c r="K146" t="n">
        <v>3</v>
      </c>
      <c r="L146" t="inlineStr">
        <is>
          <t>Q1</t>
        </is>
      </c>
      <c r="M146" t="n">
        <v>2024</v>
      </c>
      <c r="N146" s="22" t="n">
        <v>45352</v>
      </c>
      <c r="O146" s="24" t="n">
        <v>0.8737570255079983</v>
      </c>
      <c r="P146" s="23" t="n">
        <v>-28908</v>
      </c>
    </row>
    <row r="147">
      <c r="A147" t="inlineStr">
        <is>
          <t>Concor 5 MG</t>
        </is>
      </c>
      <c r="B147" t="inlineStr">
        <is>
          <t>Ismailia</t>
        </is>
      </c>
      <c r="C147" s="22" t="n">
        <v>45352</v>
      </c>
      <c r="D147" t="inlineStr">
        <is>
          <t>Mariam Saeed</t>
        </is>
      </c>
      <c r="E147" t="n">
        <v>72</v>
      </c>
      <c r="F147" t="n">
        <v>2732</v>
      </c>
      <c r="G147" t="n">
        <v>2806</v>
      </c>
      <c r="H147" s="23" t="n">
        <v>196704</v>
      </c>
      <c r="I147" s="23" t="n">
        <v>202032</v>
      </c>
      <c r="J147" t="inlineStr">
        <is>
          <t>Mar</t>
        </is>
      </c>
      <c r="K147" t="n">
        <v>3</v>
      </c>
      <c r="L147" t="inlineStr">
        <is>
          <t>Q1</t>
        </is>
      </c>
      <c r="M147" t="n">
        <v>2024</v>
      </c>
      <c r="N147" s="22" t="n">
        <v>45352</v>
      </c>
      <c r="O147" s="24" t="n">
        <v>0.9736279401282965</v>
      </c>
      <c r="P147" s="23" t="n">
        <v>-5328</v>
      </c>
    </row>
    <row r="148">
      <c r="A148" t="inlineStr">
        <is>
          <t>Glucophage 1000 MG</t>
        </is>
      </c>
      <c r="B148" t="inlineStr">
        <is>
          <t>Ismailia</t>
        </is>
      </c>
      <c r="C148" s="22" t="n">
        <v>45352</v>
      </c>
      <c r="D148" t="inlineStr">
        <is>
          <t>Mariam Saeed</t>
        </is>
      </c>
      <c r="E148" t="n">
        <v>126</v>
      </c>
      <c r="F148" t="n">
        <v>3003</v>
      </c>
      <c r="G148" t="n">
        <v>2847</v>
      </c>
      <c r="H148" s="23" t="n">
        <v>378378</v>
      </c>
      <c r="I148" s="23" t="n">
        <v>358722</v>
      </c>
      <c r="J148" t="inlineStr">
        <is>
          <t>Mar</t>
        </is>
      </c>
      <c r="K148" t="n">
        <v>3</v>
      </c>
      <c r="L148" t="inlineStr">
        <is>
          <t>Q1</t>
        </is>
      </c>
      <c r="M148" t="n">
        <v>2024</v>
      </c>
      <c r="N148" s="22" t="n">
        <v>45352</v>
      </c>
      <c r="O148" s="24" t="n">
        <v>1.054794520547945</v>
      </c>
      <c r="P148" s="23" t="n">
        <v>19656</v>
      </c>
    </row>
    <row r="149">
      <c r="A149" t="inlineStr">
        <is>
          <t>Glucophage 500 MG</t>
        </is>
      </c>
      <c r="B149" t="inlineStr">
        <is>
          <t>Ismailia</t>
        </is>
      </c>
      <c r="C149" s="22" t="n">
        <v>45352</v>
      </c>
      <c r="D149" t="inlineStr">
        <is>
          <t>Mariam Saeed</t>
        </is>
      </c>
      <c r="E149" t="n">
        <v>77</v>
      </c>
      <c r="F149" t="n">
        <v>2187</v>
      </c>
      <c r="G149" t="n">
        <v>2096</v>
      </c>
      <c r="H149" s="23" t="n">
        <v>168399</v>
      </c>
      <c r="I149" s="23" t="n">
        <v>161392</v>
      </c>
      <c r="J149" t="inlineStr">
        <is>
          <t>Mar</t>
        </is>
      </c>
      <c r="K149" t="n">
        <v>3</v>
      </c>
      <c r="L149" t="inlineStr">
        <is>
          <t>Q1</t>
        </is>
      </c>
      <c r="M149" t="n">
        <v>2024</v>
      </c>
      <c r="N149" s="22" t="n">
        <v>45352</v>
      </c>
      <c r="O149" s="24" t="n">
        <v>1.043416030534351</v>
      </c>
      <c r="P149" s="23" t="n">
        <v>7007</v>
      </c>
    </row>
    <row r="150">
      <c r="A150" t="inlineStr">
        <is>
          <t>Panadol 500 MG</t>
        </is>
      </c>
      <c r="B150" t="inlineStr">
        <is>
          <t>Ismailia</t>
        </is>
      </c>
      <c r="C150" s="22" t="n">
        <v>45352</v>
      </c>
      <c r="D150" t="inlineStr">
        <is>
          <t>Mariam Saeed</t>
        </is>
      </c>
      <c r="E150" t="n">
        <v>75</v>
      </c>
      <c r="F150" t="n">
        <v>3123</v>
      </c>
      <c r="G150" t="n">
        <v>2880</v>
      </c>
      <c r="H150" s="23" t="n">
        <v>234225</v>
      </c>
      <c r="I150" s="23" t="n">
        <v>216000</v>
      </c>
      <c r="J150" t="inlineStr">
        <is>
          <t>Mar</t>
        </is>
      </c>
      <c r="K150" t="n">
        <v>3</v>
      </c>
      <c r="L150" t="inlineStr">
        <is>
          <t>Q1</t>
        </is>
      </c>
      <c r="M150" t="n">
        <v>2024</v>
      </c>
      <c r="N150" s="22" t="n">
        <v>45352</v>
      </c>
      <c r="O150" s="24" t="n">
        <v>1.084375</v>
      </c>
      <c r="P150" s="23" t="n">
        <v>18225</v>
      </c>
    </row>
    <row r="151">
      <c r="A151" t="inlineStr">
        <is>
          <t>Panadol 250 MG</t>
        </is>
      </c>
      <c r="B151" t="inlineStr">
        <is>
          <t>Ismailia</t>
        </is>
      </c>
      <c r="C151" s="22" t="n">
        <v>45352</v>
      </c>
      <c r="D151" t="inlineStr">
        <is>
          <t>Mariam Saeed</t>
        </is>
      </c>
      <c r="E151" t="n">
        <v>45</v>
      </c>
      <c r="F151" t="n">
        <v>2865</v>
      </c>
      <c r="G151" t="n">
        <v>3236</v>
      </c>
      <c r="H151" s="23" t="n">
        <v>128925</v>
      </c>
      <c r="I151" s="23" t="n">
        <v>145620</v>
      </c>
      <c r="J151" t="inlineStr">
        <is>
          <t>Mar</t>
        </is>
      </c>
      <c r="K151" t="n">
        <v>3</v>
      </c>
      <c r="L151" t="inlineStr">
        <is>
          <t>Q1</t>
        </is>
      </c>
      <c r="M151" t="n">
        <v>2024</v>
      </c>
      <c r="N151" s="22" t="n">
        <v>45352</v>
      </c>
      <c r="O151" s="24" t="n">
        <v>0.8853522867737948</v>
      </c>
      <c r="P151" s="23" t="n">
        <v>-16695</v>
      </c>
    </row>
    <row r="152">
      <c r="A152" t="inlineStr">
        <is>
          <t>Augmentin 1000 MG</t>
        </is>
      </c>
      <c r="B152" t="inlineStr">
        <is>
          <t>Ismailia</t>
        </is>
      </c>
      <c r="C152" s="22" t="n">
        <v>45383</v>
      </c>
      <c r="D152" t="inlineStr">
        <is>
          <t>Mariam Saeed</t>
        </is>
      </c>
      <c r="E152" t="n">
        <v>210</v>
      </c>
      <c r="F152" t="n">
        <v>2228</v>
      </c>
      <c r="G152" t="n">
        <v>2470</v>
      </c>
      <c r="H152" s="23" t="n">
        <v>467880</v>
      </c>
      <c r="I152" s="23" t="n">
        <v>518700</v>
      </c>
      <c r="J152" t="inlineStr">
        <is>
          <t>Apr</t>
        </is>
      </c>
      <c r="K152" t="n">
        <v>4</v>
      </c>
      <c r="L152" t="inlineStr">
        <is>
          <t>Q2</t>
        </is>
      </c>
      <c r="M152" t="n">
        <v>2024</v>
      </c>
      <c r="N152" s="22" t="n">
        <v>45383</v>
      </c>
      <c r="O152" s="24" t="n">
        <v>0.9020242914979757</v>
      </c>
      <c r="P152" s="23" t="n">
        <v>-50820</v>
      </c>
    </row>
    <row r="153">
      <c r="A153" t="inlineStr">
        <is>
          <t>Augmentin 625 MG</t>
        </is>
      </c>
      <c r="B153" t="inlineStr">
        <is>
          <t>Ismailia</t>
        </is>
      </c>
      <c r="C153" s="22" t="n">
        <v>45383</v>
      </c>
      <c r="D153" t="inlineStr">
        <is>
          <t>Mariam Saeed</t>
        </is>
      </c>
      <c r="E153" t="n">
        <v>117</v>
      </c>
      <c r="F153" t="n">
        <v>3500</v>
      </c>
      <c r="G153" t="n">
        <v>3125</v>
      </c>
      <c r="H153" s="23" t="n">
        <v>409500</v>
      </c>
      <c r="I153" s="23" t="n">
        <v>365625</v>
      </c>
      <c r="J153" t="inlineStr">
        <is>
          <t>Apr</t>
        </is>
      </c>
      <c r="K153" t="n">
        <v>4</v>
      </c>
      <c r="L153" t="inlineStr">
        <is>
          <t>Q2</t>
        </is>
      </c>
      <c r="M153" t="n">
        <v>2024</v>
      </c>
      <c r="N153" s="22" t="n">
        <v>45383</v>
      </c>
      <c r="O153" s="24" t="n">
        <v>1.12</v>
      </c>
      <c r="P153" s="23" t="n">
        <v>43875</v>
      </c>
    </row>
    <row r="154">
      <c r="A154" t="inlineStr">
        <is>
          <t>Cataflam 50 MG</t>
        </is>
      </c>
      <c r="B154" t="inlineStr">
        <is>
          <t>Ismailia</t>
        </is>
      </c>
      <c r="C154" s="22" t="n">
        <v>45383</v>
      </c>
      <c r="D154" t="inlineStr">
        <is>
          <t>Mariam Saeed</t>
        </is>
      </c>
      <c r="E154" t="n">
        <v>86</v>
      </c>
      <c r="F154" t="n">
        <v>3603</v>
      </c>
      <c r="G154" t="n">
        <v>3400</v>
      </c>
      <c r="H154" s="23" t="n">
        <v>309858</v>
      </c>
      <c r="I154" s="23" t="n">
        <v>292400</v>
      </c>
      <c r="J154" t="inlineStr">
        <is>
          <t>Apr</t>
        </is>
      </c>
      <c r="K154" t="n">
        <v>4</v>
      </c>
      <c r="L154" t="inlineStr">
        <is>
          <t>Q2</t>
        </is>
      </c>
      <c r="M154" t="n">
        <v>2024</v>
      </c>
      <c r="N154" s="22" t="n">
        <v>45383</v>
      </c>
      <c r="O154" s="24" t="n">
        <v>1.059705882352941</v>
      </c>
      <c r="P154" s="23" t="n">
        <v>17458</v>
      </c>
    </row>
    <row r="155">
      <c r="A155" t="inlineStr">
        <is>
          <t>Cataflam 25 MG</t>
        </is>
      </c>
      <c r="B155" t="inlineStr">
        <is>
          <t>Ismailia</t>
        </is>
      </c>
      <c r="C155" s="22" t="n">
        <v>45383</v>
      </c>
      <c r="D155" t="inlineStr">
        <is>
          <t>Mariam Saeed</t>
        </is>
      </c>
      <c r="E155" t="n">
        <v>34</v>
      </c>
      <c r="F155" t="n">
        <v>2205</v>
      </c>
      <c r="G155" t="n">
        <v>2413</v>
      </c>
      <c r="H155" s="23" t="n">
        <v>74970</v>
      </c>
      <c r="I155" s="23" t="n">
        <v>82042</v>
      </c>
      <c r="J155" t="inlineStr">
        <is>
          <t>Apr</t>
        </is>
      </c>
      <c r="K155" t="n">
        <v>4</v>
      </c>
      <c r="L155" t="inlineStr">
        <is>
          <t>Q2</t>
        </is>
      </c>
      <c r="M155" t="n">
        <v>2024</v>
      </c>
      <c r="N155" s="22" t="n">
        <v>45383</v>
      </c>
      <c r="O155" s="24" t="n">
        <v>0.9138002486531289</v>
      </c>
      <c r="P155" s="23" t="n">
        <v>-7072</v>
      </c>
    </row>
    <row r="156">
      <c r="A156" t="inlineStr">
        <is>
          <t>Concor 10 MG</t>
        </is>
      </c>
      <c r="B156" t="inlineStr">
        <is>
          <t>Ismailia</t>
        </is>
      </c>
      <c r="C156" s="22" t="n">
        <v>45383</v>
      </c>
      <c r="D156" t="inlineStr">
        <is>
          <t>Mariam Saeed</t>
        </is>
      </c>
      <c r="E156" t="n">
        <v>99</v>
      </c>
      <c r="F156" t="n">
        <v>2610</v>
      </c>
      <c r="G156" t="n">
        <v>2824</v>
      </c>
      <c r="H156" s="23" t="n">
        <v>258390</v>
      </c>
      <c r="I156" s="23" t="n">
        <v>279576</v>
      </c>
      <c r="J156" t="inlineStr">
        <is>
          <t>Apr</t>
        </is>
      </c>
      <c r="K156" t="n">
        <v>4</v>
      </c>
      <c r="L156" t="inlineStr">
        <is>
          <t>Q2</t>
        </is>
      </c>
      <c r="M156" t="n">
        <v>2024</v>
      </c>
      <c r="N156" s="22" t="n">
        <v>45383</v>
      </c>
      <c r="O156" s="24" t="n">
        <v>0.9242209631728046</v>
      </c>
      <c r="P156" s="23" t="n">
        <v>-21186</v>
      </c>
    </row>
    <row r="157">
      <c r="A157" t="inlineStr">
        <is>
          <t>Concor 5 MG</t>
        </is>
      </c>
      <c r="B157" t="inlineStr">
        <is>
          <t>Ismailia</t>
        </is>
      </c>
      <c r="C157" s="22" t="n">
        <v>45383</v>
      </c>
      <c r="D157" t="inlineStr">
        <is>
          <t>Mariam Saeed</t>
        </is>
      </c>
      <c r="E157" t="n">
        <v>72</v>
      </c>
      <c r="F157" t="n">
        <v>3016</v>
      </c>
      <c r="G157" t="n">
        <v>2894</v>
      </c>
      <c r="H157" s="23" t="n">
        <v>217152</v>
      </c>
      <c r="I157" s="23" t="n">
        <v>208368</v>
      </c>
      <c r="J157" t="inlineStr">
        <is>
          <t>Apr</t>
        </is>
      </c>
      <c r="K157" t="n">
        <v>4</v>
      </c>
      <c r="L157" t="inlineStr">
        <is>
          <t>Q2</t>
        </is>
      </c>
      <c r="M157" t="n">
        <v>2024</v>
      </c>
      <c r="N157" s="22" t="n">
        <v>45383</v>
      </c>
      <c r="O157" s="24" t="n">
        <v>1.042156185210781</v>
      </c>
      <c r="P157" s="23" t="n">
        <v>8784</v>
      </c>
    </row>
    <row r="158">
      <c r="A158" t="inlineStr">
        <is>
          <t>Glucophage 1000 MG</t>
        </is>
      </c>
      <c r="B158" t="inlineStr">
        <is>
          <t>Ismailia</t>
        </is>
      </c>
      <c r="C158" s="22" t="n">
        <v>45383</v>
      </c>
      <c r="D158" t="inlineStr">
        <is>
          <t>Mariam Saeed</t>
        </is>
      </c>
      <c r="E158" t="n">
        <v>126</v>
      </c>
      <c r="F158" t="n">
        <v>2608</v>
      </c>
      <c r="G158" t="n">
        <v>2725</v>
      </c>
      <c r="H158" s="23" t="n">
        <v>328608</v>
      </c>
      <c r="I158" s="23" t="n">
        <v>343350</v>
      </c>
      <c r="J158" t="inlineStr">
        <is>
          <t>Apr</t>
        </is>
      </c>
      <c r="K158" t="n">
        <v>4</v>
      </c>
      <c r="L158" t="inlineStr">
        <is>
          <t>Q2</t>
        </is>
      </c>
      <c r="M158" t="n">
        <v>2024</v>
      </c>
      <c r="N158" s="22" t="n">
        <v>45383</v>
      </c>
      <c r="O158" s="24" t="n">
        <v>0.9570642201834862</v>
      </c>
      <c r="P158" s="23" t="n">
        <v>-14742</v>
      </c>
    </row>
    <row r="159">
      <c r="A159" t="inlineStr">
        <is>
          <t>Glucophage 500 MG</t>
        </is>
      </c>
      <c r="B159" t="inlineStr">
        <is>
          <t>Ismailia</t>
        </is>
      </c>
      <c r="C159" s="22" t="n">
        <v>45383</v>
      </c>
      <c r="D159" t="inlineStr">
        <is>
          <t>Mariam Saeed</t>
        </is>
      </c>
      <c r="E159" t="n">
        <v>77</v>
      </c>
      <c r="F159" t="n">
        <v>2591</v>
      </c>
      <c r="G159" t="n">
        <v>2456</v>
      </c>
      <c r="H159" s="23" t="n">
        <v>199507</v>
      </c>
      <c r="I159" s="23" t="n">
        <v>189112</v>
      </c>
      <c r="J159" t="inlineStr">
        <is>
          <t>Apr</t>
        </is>
      </c>
      <c r="K159" t="n">
        <v>4</v>
      </c>
      <c r="L159" t="inlineStr">
        <is>
          <t>Q2</t>
        </is>
      </c>
      <c r="M159" t="n">
        <v>2024</v>
      </c>
      <c r="N159" s="22" t="n">
        <v>45383</v>
      </c>
      <c r="O159" s="24" t="n">
        <v>1.054967426710098</v>
      </c>
      <c r="P159" s="23" t="n">
        <v>10395</v>
      </c>
    </row>
    <row r="160">
      <c r="A160" t="inlineStr">
        <is>
          <t>Panadol 500 MG</t>
        </is>
      </c>
      <c r="B160" t="inlineStr">
        <is>
          <t>Ismailia</t>
        </is>
      </c>
      <c r="C160" s="22" t="n">
        <v>45383</v>
      </c>
      <c r="D160" t="inlineStr">
        <is>
          <t>Mariam Saeed</t>
        </is>
      </c>
      <c r="E160" t="n">
        <v>75</v>
      </c>
      <c r="F160" t="n">
        <v>3461</v>
      </c>
      <c r="G160" t="n">
        <v>3308</v>
      </c>
      <c r="H160" s="23" t="n">
        <v>259575</v>
      </c>
      <c r="I160" s="23" t="n">
        <v>248100</v>
      </c>
      <c r="J160" t="inlineStr">
        <is>
          <t>Apr</t>
        </is>
      </c>
      <c r="K160" t="n">
        <v>4</v>
      </c>
      <c r="L160" t="inlineStr">
        <is>
          <t>Q2</t>
        </is>
      </c>
      <c r="M160" t="n">
        <v>2024</v>
      </c>
      <c r="N160" s="22" t="n">
        <v>45383</v>
      </c>
      <c r="O160" s="24" t="n">
        <v>1.046251511487303</v>
      </c>
      <c r="P160" s="23" t="n">
        <v>11475</v>
      </c>
    </row>
    <row r="161">
      <c r="A161" t="inlineStr">
        <is>
          <t>Panadol 250 MG</t>
        </is>
      </c>
      <c r="B161" t="inlineStr">
        <is>
          <t>Ismailia</t>
        </is>
      </c>
      <c r="C161" s="22" t="n">
        <v>45383</v>
      </c>
      <c r="D161" t="inlineStr">
        <is>
          <t>Mariam Saeed</t>
        </is>
      </c>
      <c r="E161" t="n">
        <v>45</v>
      </c>
      <c r="F161" t="n">
        <v>3531</v>
      </c>
      <c r="G161" t="n">
        <v>3262</v>
      </c>
      <c r="H161" s="23" t="n">
        <v>158895</v>
      </c>
      <c r="I161" s="23" t="n">
        <v>146790</v>
      </c>
      <c r="J161" t="inlineStr">
        <is>
          <t>Apr</t>
        </is>
      </c>
      <c r="K161" t="n">
        <v>4</v>
      </c>
      <c r="L161" t="inlineStr">
        <is>
          <t>Q2</t>
        </is>
      </c>
      <c r="M161" t="n">
        <v>2024</v>
      </c>
      <c r="N161" s="22" t="n">
        <v>45383</v>
      </c>
      <c r="O161" s="24" t="n">
        <v>1.082464745554874</v>
      </c>
      <c r="P161" s="23" t="n">
        <v>12105</v>
      </c>
    </row>
    <row r="162">
      <c r="A162" t="inlineStr">
        <is>
          <t>Augmentin 1000 MG</t>
        </is>
      </c>
      <c r="B162" t="inlineStr">
        <is>
          <t>Ismailia</t>
        </is>
      </c>
      <c r="C162" s="22" t="n">
        <v>45413</v>
      </c>
      <c r="D162" t="inlineStr">
        <is>
          <t>Mariam Saeed</t>
        </is>
      </c>
      <c r="E162" t="n">
        <v>210</v>
      </c>
      <c r="F162" t="n">
        <v>2482</v>
      </c>
      <c r="G162" t="n">
        <v>2484</v>
      </c>
      <c r="H162" s="23" t="n">
        <v>521220</v>
      </c>
      <c r="I162" s="23" t="n">
        <v>521640</v>
      </c>
      <c r="J162" t="inlineStr">
        <is>
          <t>May</t>
        </is>
      </c>
      <c r="K162" t="n">
        <v>5</v>
      </c>
      <c r="L162" t="inlineStr">
        <is>
          <t>Q2</t>
        </is>
      </c>
      <c r="M162" t="n">
        <v>2024</v>
      </c>
      <c r="N162" s="22" t="n">
        <v>45413</v>
      </c>
      <c r="O162" s="24" t="n">
        <v>0.999194847020934</v>
      </c>
      <c r="P162" s="23" t="n">
        <v>-420</v>
      </c>
    </row>
    <row r="163">
      <c r="A163" t="inlineStr">
        <is>
          <t>Augmentin 625 MG</t>
        </is>
      </c>
      <c r="B163" t="inlineStr">
        <is>
          <t>Ismailia</t>
        </is>
      </c>
      <c r="C163" s="22" t="n">
        <v>45413</v>
      </c>
      <c r="D163" t="inlineStr">
        <is>
          <t>Mariam Saeed</t>
        </is>
      </c>
      <c r="E163" t="n">
        <v>117</v>
      </c>
      <c r="F163" t="n">
        <v>2505</v>
      </c>
      <c r="G163" t="n">
        <v>2645</v>
      </c>
      <c r="H163" s="23" t="n">
        <v>293085</v>
      </c>
      <c r="I163" s="23" t="n">
        <v>309465</v>
      </c>
      <c r="J163" t="inlineStr">
        <is>
          <t>May</t>
        </is>
      </c>
      <c r="K163" t="n">
        <v>5</v>
      </c>
      <c r="L163" t="inlineStr">
        <is>
          <t>Q2</t>
        </is>
      </c>
      <c r="M163" t="n">
        <v>2024</v>
      </c>
      <c r="N163" s="22" t="n">
        <v>45413</v>
      </c>
      <c r="O163" s="24" t="n">
        <v>0.947069943289225</v>
      </c>
      <c r="P163" s="23" t="n">
        <v>-16380</v>
      </c>
    </row>
    <row r="164">
      <c r="A164" t="inlineStr">
        <is>
          <t>Cataflam 50 MG</t>
        </is>
      </c>
      <c r="B164" t="inlineStr">
        <is>
          <t>Ismailia</t>
        </is>
      </c>
      <c r="C164" s="22" t="n">
        <v>45413</v>
      </c>
      <c r="D164" t="inlineStr">
        <is>
          <t>Mariam Saeed</t>
        </is>
      </c>
      <c r="E164" t="n">
        <v>86</v>
      </c>
      <c r="F164" t="n">
        <v>2809</v>
      </c>
      <c r="G164" t="n">
        <v>2619</v>
      </c>
      <c r="H164" s="23" t="n">
        <v>241574</v>
      </c>
      <c r="I164" s="23" t="n">
        <v>225234</v>
      </c>
      <c r="J164" t="inlineStr">
        <is>
          <t>May</t>
        </is>
      </c>
      <c r="K164" t="n">
        <v>5</v>
      </c>
      <c r="L164" t="inlineStr">
        <is>
          <t>Q2</t>
        </is>
      </c>
      <c r="M164" t="n">
        <v>2024</v>
      </c>
      <c r="N164" s="22" t="n">
        <v>45413</v>
      </c>
      <c r="O164" s="24" t="n">
        <v>1.072546773577701</v>
      </c>
      <c r="P164" s="23" t="n">
        <v>16340</v>
      </c>
    </row>
    <row r="165">
      <c r="A165" t="inlineStr">
        <is>
          <t>Cataflam 25 MG</t>
        </is>
      </c>
      <c r="B165" t="inlineStr">
        <is>
          <t>Ismailia</t>
        </is>
      </c>
      <c r="C165" s="22" t="n">
        <v>45413</v>
      </c>
      <c r="D165" t="inlineStr">
        <is>
          <t>Mariam Saeed</t>
        </is>
      </c>
      <c r="E165" t="n">
        <v>34</v>
      </c>
      <c r="F165" t="n">
        <v>2814</v>
      </c>
      <c r="G165" t="n">
        <v>3041</v>
      </c>
      <c r="H165" s="23" t="n">
        <v>95676</v>
      </c>
      <c r="I165" s="23" t="n">
        <v>103394</v>
      </c>
      <c r="J165" t="inlineStr">
        <is>
          <t>May</t>
        </is>
      </c>
      <c r="K165" t="n">
        <v>5</v>
      </c>
      <c r="L165" t="inlineStr">
        <is>
          <t>Q2</t>
        </is>
      </c>
      <c r="M165" t="n">
        <v>2024</v>
      </c>
      <c r="N165" s="22" t="n">
        <v>45413</v>
      </c>
      <c r="O165" s="24" t="n">
        <v>0.9253535021374548</v>
      </c>
      <c r="P165" s="23" t="n">
        <v>-7718</v>
      </c>
    </row>
    <row r="166">
      <c r="A166" t="inlineStr">
        <is>
          <t>Concor 10 MG</t>
        </is>
      </c>
      <c r="B166" t="inlineStr">
        <is>
          <t>Ismailia</t>
        </is>
      </c>
      <c r="C166" s="22" t="n">
        <v>45413</v>
      </c>
      <c r="D166" t="inlineStr">
        <is>
          <t>Mariam Saeed</t>
        </is>
      </c>
      <c r="E166" t="n">
        <v>99</v>
      </c>
      <c r="F166" t="n">
        <v>3477</v>
      </c>
      <c r="G166" t="n">
        <v>3629</v>
      </c>
      <c r="H166" s="23" t="n">
        <v>344223</v>
      </c>
      <c r="I166" s="23" t="n">
        <v>359271</v>
      </c>
      <c r="J166" t="inlineStr">
        <is>
          <t>May</t>
        </is>
      </c>
      <c r="K166" t="n">
        <v>5</v>
      </c>
      <c r="L166" t="inlineStr">
        <is>
          <t>Q2</t>
        </is>
      </c>
      <c r="M166" t="n">
        <v>2024</v>
      </c>
      <c r="N166" s="22" t="n">
        <v>45413</v>
      </c>
      <c r="O166" s="24" t="n">
        <v>0.9581151832460733</v>
      </c>
      <c r="P166" s="23" t="n">
        <v>-15048</v>
      </c>
    </row>
    <row r="167">
      <c r="A167" t="inlineStr">
        <is>
          <t>Concor 5 MG</t>
        </is>
      </c>
      <c r="B167" t="inlineStr">
        <is>
          <t>Ismailia</t>
        </is>
      </c>
      <c r="C167" s="22" t="n">
        <v>45413</v>
      </c>
      <c r="D167" t="inlineStr">
        <is>
          <t>Mariam Saeed</t>
        </is>
      </c>
      <c r="E167" t="n">
        <v>72</v>
      </c>
      <c r="F167" t="n">
        <v>2613</v>
      </c>
      <c r="G167" t="n">
        <v>2661</v>
      </c>
      <c r="H167" s="23" t="n">
        <v>188136</v>
      </c>
      <c r="I167" s="23" t="n">
        <v>191592</v>
      </c>
      <c r="J167" t="inlineStr">
        <is>
          <t>May</t>
        </is>
      </c>
      <c r="K167" t="n">
        <v>5</v>
      </c>
      <c r="L167" t="inlineStr">
        <is>
          <t>Q2</t>
        </is>
      </c>
      <c r="M167" t="n">
        <v>2024</v>
      </c>
      <c r="N167" s="22" t="n">
        <v>45413</v>
      </c>
      <c r="O167" s="24" t="n">
        <v>0.9819616685456595</v>
      </c>
      <c r="P167" s="23" t="n">
        <v>-3456</v>
      </c>
    </row>
    <row r="168">
      <c r="A168" t="inlineStr">
        <is>
          <t>Glucophage 1000 MG</t>
        </is>
      </c>
      <c r="B168" t="inlineStr">
        <is>
          <t>Ismailia</t>
        </is>
      </c>
      <c r="C168" s="22" t="n">
        <v>45413</v>
      </c>
      <c r="D168" t="inlineStr">
        <is>
          <t>Mariam Saeed</t>
        </is>
      </c>
      <c r="E168" t="n">
        <v>126</v>
      </c>
      <c r="F168" t="n">
        <v>2532</v>
      </c>
      <c r="G168" t="n">
        <v>2757</v>
      </c>
      <c r="H168" s="23" t="n">
        <v>319032</v>
      </c>
      <c r="I168" s="23" t="n">
        <v>347382</v>
      </c>
      <c r="J168" t="inlineStr">
        <is>
          <t>May</t>
        </is>
      </c>
      <c r="K168" t="n">
        <v>5</v>
      </c>
      <c r="L168" t="inlineStr">
        <is>
          <t>Q2</t>
        </is>
      </c>
      <c r="M168" t="n">
        <v>2024</v>
      </c>
      <c r="N168" s="22" t="n">
        <v>45413</v>
      </c>
      <c r="O168" s="24" t="n">
        <v>0.9183895538628944</v>
      </c>
      <c r="P168" s="23" t="n">
        <v>-28350</v>
      </c>
    </row>
    <row r="169">
      <c r="A169" t="inlineStr">
        <is>
          <t>Glucophage 500 MG</t>
        </is>
      </c>
      <c r="B169" t="inlineStr">
        <is>
          <t>Ismailia</t>
        </is>
      </c>
      <c r="C169" s="22" t="n">
        <v>45413</v>
      </c>
      <c r="D169" t="inlineStr">
        <is>
          <t>Mariam Saeed</t>
        </is>
      </c>
      <c r="E169" t="n">
        <v>77</v>
      </c>
      <c r="F169" t="n">
        <v>2464</v>
      </c>
      <c r="G169" t="n">
        <v>2288</v>
      </c>
      <c r="H169" s="23" t="n">
        <v>189728</v>
      </c>
      <c r="I169" s="23" t="n">
        <v>176176</v>
      </c>
      <c r="J169" t="inlineStr">
        <is>
          <t>May</t>
        </is>
      </c>
      <c r="K169" t="n">
        <v>5</v>
      </c>
      <c r="L169" t="inlineStr">
        <is>
          <t>Q2</t>
        </is>
      </c>
      <c r="M169" t="n">
        <v>2024</v>
      </c>
      <c r="N169" s="22" t="n">
        <v>45413</v>
      </c>
      <c r="O169" s="24" t="n">
        <v>1.076923076923077</v>
      </c>
      <c r="P169" s="23" t="n">
        <v>13552</v>
      </c>
    </row>
    <row r="170">
      <c r="A170" t="inlineStr">
        <is>
          <t>Panadol 500 MG</t>
        </is>
      </c>
      <c r="B170" t="inlineStr">
        <is>
          <t>Ismailia</t>
        </is>
      </c>
      <c r="C170" s="22" t="n">
        <v>45413</v>
      </c>
      <c r="D170" t="inlineStr">
        <is>
          <t>Mariam Saeed</t>
        </is>
      </c>
      <c r="E170" t="n">
        <v>75</v>
      </c>
      <c r="F170" t="n">
        <v>3321</v>
      </c>
      <c r="G170" t="n">
        <v>3437</v>
      </c>
      <c r="H170" s="23" t="n">
        <v>249075</v>
      </c>
      <c r="I170" s="23" t="n">
        <v>257775</v>
      </c>
      <c r="J170" t="inlineStr">
        <is>
          <t>May</t>
        </is>
      </c>
      <c r="K170" t="n">
        <v>5</v>
      </c>
      <c r="L170" t="inlineStr">
        <is>
          <t>Q2</t>
        </is>
      </c>
      <c r="M170" t="n">
        <v>2024</v>
      </c>
      <c r="N170" s="22" t="n">
        <v>45413</v>
      </c>
      <c r="O170" s="24" t="n">
        <v>0.9662496363107361</v>
      </c>
      <c r="P170" s="23" t="n">
        <v>-8700</v>
      </c>
    </row>
    <row r="171">
      <c r="A171" t="inlineStr">
        <is>
          <t>Panadol 250 MG</t>
        </is>
      </c>
      <c r="B171" t="inlineStr">
        <is>
          <t>Ismailia</t>
        </is>
      </c>
      <c r="C171" s="22" t="n">
        <v>45413</v>
      </c>
      <c r="D171" t="inlineStr">
        <is>
          <t>Mariam Saeed</t>
        </is>
      </c>
      <c r="E171" t="n">
        <v>45</v>
      </c>
      <c r="F171" t="n">
        <v>2600</v>
      </c>
      <c r="G171" t="n">
        <v>2720</v>
      </c>
      <c r="H171" s="23" t="n">
        <v>117000</v>
      </c>
      <c r="I171" s="23" t="n">
        <v>122400</v>
      </c>
      <c r="J171" t="inlineStr">
        <is>
          <t>May</t>
        </is>
      </c>
      <c r="K171" t="n">
        <v>5</v>
      </c>
      <c r="L171" t="inlineStr">
        <is>
          <t>Q2</t>
        </is>
      </c>
      <c r="M171" t="n">
        <v>2024</v>
      </c>
      <c r="N171" s="22" t="n">
        <v>45413</v>
      </c>
      <c r="O171" s="24" t="n">
        <v>0.9558823529411765</v>
      </c>
      <c r="P171" s="23" t="n">
        <v>-5400</v>
      </c>
    </row>
    <row r="172">
      <c r="A172" t="inlineStr">
        <is>
          <t>Augmentin 1000 MG</t>
        </is>
      </c>
      <c r="B172" t="inlineStr">
        <is>
          <t>Ismailia</t>
        </is>
      </c>
      <c r="C172" s="22" t="n">
        <v>45444</v>
      </c>
      <c r="D172" t="inlineStr">
        <is>
          <t>Mariam Saeed</t>
        </is>
      </c>
      <c r="E172" t="n">
        <v>210</v>
      </c>
      <c r="F172" t="n">
        <v>3255</v>
      </c>
      <c r="G172" t="n">
        <v>3034</v>
      </c>
      <c r="H172" s="23" t="n">
        <v>683550</v>
      </c>
      <c r="I172" s="23" t="n">
        <v>637140</v>
      </c>
      <c r="J172" t="inlineStr">
        <is>
          <t>Jun</t>
        </is>
      </c>
      <c r="K172" t="n">
        <v>6</v>
      </c>
      <c r="L172" t="inlineStr">
        <is>
          <t>Q2</t>
        </is>
      </c>
      <c r="M172" t="n">
        <v>2024</v>
      </c>
      <c r="N172" s="22" t="n">
        <v>45444</v>
      </c>
      <c r="O172" s="24" t="n">
        <v>1.072841133816744</v>
      </c>
      <c r="P172" s="23" t="n">
        <v>46410</v>
      </c>
    </row>
    <row r="173">
      <c r="A173" t="inlineStr">
        <is>
          <t>Augmentin 625 MG</t>
        </is>
      </c>
      <c r="B173" t="inlineStr">
        <is>
          <t>Ismailia</t>
        </is>
      </c>
      <c r="C173" s="22" t="n">
        <v>45444</v>
      </c>
      <c r="D173" t="inlineStr">
        <is>
          <t>Mariam Saeed</t>
        </is>
      </c>
      <c r="E173" t="n">
        <v>117</v>
      </c>
      <c r="F173" t="n">
        <v>1878</v>
      </c>
      <c r="G173" t="n">
        <v>2205</v>
      </c>
      <c r="H173" s="23" t="n">
        <v>219726</v>
      </c>
      <c r="I173" s="23" t="n">
        <v>257985</v>
      </c>
      <c r="J173" t="inlineStr">
        <is>
          <t>Jun</t>
        </is>
      </c>
      <c r="K173" t="n">
        <v>6</v>
      </c>
      <c r="L173" t="inlineStr">
        <is>
          <t>Q2</t>
        </is>
      </c>
      <c r="M173" t="n">
        <v>2024</v>
      </c>
      <c r="N173" s="22" t="n">
        <v>45444</v>
      </c>
      <c r="O173" s="24" t="n">
        <v>0.8517006802721089</v>
      </c>
      <c r="P173" s="23" t="n">
        <v>-38259</v>
      </c>
    </row>
    <row r="174">
      <c r="A174" t="inlineStr">
        <is>
          <t>Cataflam 50 MG</t>
        </is>
      </c>
      <c r="B174" t="inlineStr">
        <is>
          <t>Ismailia</t>
        </is>
      </c>
      <c r="C174" s="22" t="n">
        <v>45444</v>
      </c>
      <c r="D174" t="inlineStr">
        <is>
          <t>Mariam Saeed</t>
        </is>
      </c>
      <c r="E174" t="n">
        <v>86</v>
      </c>
      <c r="F174" t="n">
        <v>1245</v>
      </c>
      <c r="G174" t="n">
        <v>3702</v>
      </c>
      <c r="H174" s="23" t="n">
        <v>107070</v>
      </c>
      <c r="I174" s="23" t="n">
        <v>318372</v>
      </c>
      <c r="J174" t="inlineStr">
        <is>
          <t>Jun</t>
        </is>
      </c>
      <c r="K174" t="n">
        <v>6</v>
      </c>
      <c r="L174" t="inlineStr">
        <is>
          <t>Q2</t>
        </is>
      </c>
      <c r="M174" t="n">
        <v>2024</v>
      </c>
      <c r="N174" s="22" t="n">
        <v>45444</v>
      </c>
      <c r="O174" s="24" t="n">
        <v>0.3363047001620745</v>
      </c>
      <c r="P174" s="23" t="n">
        <v>-211302</v>
      </c>
    </row>
    <row r="175">
      <c r="A175" t="inlineStr">
        <is>
          <t>Cataflam 25 MG</t>
        </is>
      </c>
      <c r="B175" t="inlineStr">
        <is>
          <t>Ismailia</t>
        </is>
      </c>
      <c r="C175" s="22" t="n">
        <v>45444</v>
      </c>
      <c r="D175" t="inlineStr">
        <is>
          <t>Mariam Saeed</t>
        </is>
      </c>
      <c r="E175" t="n">
        <v>34</v>
      </c>
      <c r="F175" t="n">
        <v>2199</v>
      </c>
      <c r="G175" t="n">
        <v>2246</v>
      </c>
      <c r="H175" s="23" t="n">
        <v>74766</v>
      </c>
      <c r="I175" s="23" t="n">
        <v>76364</v>
      </c>
      <c r="J175" t="inlineStr">
        <is>
          <t>Jun</t>
        </is>
      </c>
      <c r="K175" t="n">
        <v>6</v>
      </c>
      <c r="L175" t="inlineStr">
        <is>
          <t>Q2</t>
        </is>
      </c>
      <c r="M175" t="n">
        <v>2024</v>
      </c>
      <c r="N175" s="22" t="n">
        <v>45444</v>
      </c>
      <c r="O175" s="24" t="n">
        <v>0.9790739091718611</v>
      </c>
      <c r="P175" s="23" t="n">
        <v>-1598</v>
      </c>
    </row>
    <row r="176">
      <c r="A176" t="inlineStr">
        <is>
          <t>Concor 10 MG</t>
        </is>
      </c>
      <c r="B176" t="inlineStr">
        <is>
          <t>Ismailia</t>
        </is>
      </c>
      <c r="C176" s="22" t="n">
        <v>45444</v>
      </c>
      <c r="D176" t="inlineStr">
        <is>
          <t>Mariam Saeed</t>
        </is>
      </c>
      <c r="E176" t="n">
        <v>99</v>
      </c>
      <c r="F176" t="n">
        <v>3546</v>
      </c>
      <c r="G176" t="n">
        <v>3582</v>
      </c>
      <c r="H176" s="23" t="n">
        <v>351054</v>
      </c>
      <c r="I176" s="23" t="n">
        <v>354618</v>
      </c>
      <c r="J176" t="inlineStr">
        <is>
          <t>Jun</t>
        </is>
      </c>
      <c r="K176" t="n">
        <v>6</v>
      </c>
      <c r="L176" t="inlineStr">
        <is>
          <t>Q2</t>
        </is>
      </c>
      <c r="M176" t="n">
        <v>2024</v>
      </c>
      <c r="N176" s="22" t="n">
        <v>45444</v>
      </c>
      <c r="O176" s="24" t="n">
        <v>0.9899497487437185</v>
      </c>
      <c r="P176" s="23" t="n">
        <v>-3564</v>
      </c>
    </row>
    <row r="177">
      <c r="A177" t="inlineStr">
        <is>
          <t>Concor 5 MG</t>
        </is>
      </c>
      <c r="B177" t="inlineStr">
        <is>
          <t>Ismailia</t>
        </is>
      </c>
      <c r="C177" s="22" t="n">
        <v>45444</v>
      </c>
      <c r="D177" t="inlineStr">
        <is>
          <t>Mariam Saeed</t>
        </is>
      </c>
      <c r="E177" t="n">
        <v>72</v>
      </c>
      <c r="F177" t="n">
        <v>2806</v>
      </c>
      <c r="G177" t="n">
        <v>2757</v>
      </c>
      <c r="H177" s="23" t="n">
        <v>202032</v>
      </c>
      <c r="I177" s="23" t="n">
        <v>198504</v>
      </c>
      <c r="J177" t="inlineStr">
        <is>
          <t>Jun</t>
        </is>
      </c>
      <c r="K177" t="n">
        <v>6</v>
      </c>
      <c r="L177" t="inlineStr">
        <is>
          <t>Q2</t>
        </is>
      </c>
      <c r="M177" t="n">
        <v>2024</v>
      </c>
      <c r="N177" s="22" t="n">
        <v>45444</v>
      </c>
      <c r="O177" s="24" t="n">
        <v>1.017772941603192</v>
      </c>
      <c r="P177" s="23" t="n">
        <v>3528</v>
      </c>
    </row>
    <row r="178">
      <c r="A178" t="inlineStr">
        <is>
          <t>Glucophage 1000 MG</t>
        </is>
      </c>
      <c r="B178" t="inlineStr">
        <is>
          <t>Ismailia</t>
        </is>
      </c>
      <c r="C178" s="22" t="n">
        <v>45444</v>
      </c>
      <c r="D178" t="inlineStr">
        <is>
          <t>Mariam Saeed</t>
        </is>
      </c>
      <c r="E178" t="n">
        <v>126</v>
      </c>
      <c r="F178" t="n">
        <v>3017</v>
      </c>
      <c r="G178" t="n">
        <v>3150</v>
      </c>
      <c r="H178" s="23" t="n">
        <v>380142</v>
      </c>
      <c r="I178" s="23" t="n">
        <v>396900</v>
      </c>
      <c r="J178" t="inlineStr">
        <is>
          <t>Jun</t>
        </is>
      </c>
      <c r="K178" t="n">
        <v>6</v>
      </c>
      <c r="L178" t="inlineStr">
        <is>
          <t>Q2</t>
        </is>
      </c>
      <c r="M178" t="n">
        <v>2024</v>
      </c>
      <c r="N178" s="22" t="n">
        <v>45444</v>
      </c>
      <c r="O178" s="24" t="n">
        <v>0.9577777777777777</v>
      </c>
      <c r="P178" s="23" t="n">
        <v>-16758</v>
      </c>
    </row>
    <row r="179">
      <c r="A179" t="inlineStr">
        <is>
          <t>Glucophage 500 MG</t>
        </is>
      </c>
      <c r="B179" t="inlineStr">
        <is>
          <t>Ismailia</t>
        </is>
      </c>
      <c r="C179" s="22" t="n">
        <v>45444</v>
      </c>
      <c r="D179" t="inlineStr">
        <is>
          <t>Mariam Saeed</t>
        </is>
      </c>
      <c r="E179" t="n">
        <v>77</v>
      </c>
      <c r="F179" t="n">
        <v>1886</v>
      </c>
      <c r="G179" t="n">
        <v>2146</v>
      </c>
      <c r="H179" s="23" t="n">
        <v>145222</v>
      </c>
      <c r="I179" s="23" t="n">
        <v>165242</v>
      </c>
      <c r="J179" t="inlineStr">
        <is>
          <t>Jun</t>
        </is>
      </c>
      <c r="K179" t="n">
        <v>6</v>
      </c>
      <c r="L179" t="inlineStr">
        <is>
          <t>Q2</t>
        </is>
      </c>
      <c r="M179" t="n">
        <v>2024</v>
      </c>
      <c r="N179" s="22" t="n">
        <v>45444</v>
      </c>
      <c r="O179" s="24" t="n">
        <v>0.8788443616029823</v>
      </c>
      <c r="P179" s="23" t="n">
        <v>-20020</v>
      </c>
    </row>
    <row r="180">
      <c r="A180" t="inlineStr">
        <is>
          <t>Panadol 500 MG</t>
        </is>
      </c>
      <c r="B180" t="inlineStr">
        <is>
          <t>Ismailia</t>
        </is>
      </c>
      <c r="C180" s="22" t="n">
        <v>45444</v>
      </c>
      <c r="D180" t="inlineStr">
        <is>
          <t>Mariam Saeed</t>
        </is>
      </c>
      <c r="E180" t="n">
        <v>75</v>
      </c>
      <c r="F180" t="n">
        <v>1854</v>
      </c>
      <c r="G180" t="n">
        <v>2117</v>
      </c>
      <c r="H180" s="23" t="n">
        <v>139050</v>
      </c>
      <c r="I180" s="23" t="n">
        <v>158775</v>
      </c>
      <c r="J180" t="inlineStr">
        <is>
          <t>Jun</t>
        </is>
      </c>
      <c r="K180" t="n">
        <v>6</v>
      </c>
      <c r="L180" t="inlineStr">
        <is>
          <t>Q2</t>
        </is>
      </c>
      <c r="M180" t="n">
        <v>2024</v>
      </c>
      <c r="N180" s="22" t="n">
        <v>45444</v>
      </c>
      <c r="O180" s="24" t="n">
        <v>0.8757675956542277</v>
      </c>
      <c r="P180" s="23" t="n">
        <v>-19725</v>
      </c>
    </row>
    <row r="181">
      <c r="A181" t="inlineStr">
        <is>
          <t>Panadol 250 MG</t>
        </is>
      </c>
      <c r="B181" t="inlineStr">
        <is>
          <t>Ismailia</t>
        </is>
      </c>
      <c r="C181" s="22" t="n">
        <v>45444</v>
      </c>
      <c r="D181" t="inlineStr">
        <is>
          <t>Mariam Saeed</t>
        </is>
      </c>
      <c r="E181" t="n">
        <v>45</v>
      </c>
      <c r="F181" t="n">
        <v>3500</v>
      </c>
      <c r="G181" t="n">
        <v>3934</v>
      </c>
      <c r="H181" s="23" t="n">
        <v>157500</v>
      </c>
      <c r="I181" s="23" t="n">
        <v>177030</v>
      </c>
      <c r="J181" t="inlineStr">
        <is>
          <t>Jun</t>
        </is>
      </c>
      <c r="K181" t="n">
        <v>6</v>
      </c>
      <c r="L181" t="inlineStr">
        <is>
          <t>Q2</t>
        </is>
      </c>
      <c r="M181" t="n">
        <v>2024</v>
      </c>
      <c r="N181" s="22" t="n">
        <v>45444</v>
      </c>
      <c r="O181" s="24" t="n">
        <v>0.8896797153024911</v>
      </c>
      <c r="P181" s="23" t="n">
        <v>-19530</v>
      </c>
    </row>
    <row r="182">
      <c r="A182" t="inlineStr">
        <is>
          <t>Augmentin 1000 MG</t>
        </is>
      </c>
      <c r="B182" t="inlineStr">
        <is>
          <t>Ismailia</t>
        </is>
      </c>
      <c r="C182" s="22" t="n">
        <v>45474</v>
      </c>
      <c r="D182" t="inlineStr">
        <is>
          <t>Mariam Saeed</t>
        </is>
      </c>
      <c r="E182" t="n">
        <v>210</v>
      </c>
      <c r="F182" t="n">
        <v>2174</v>
      </c>
      <c r="G182" t="n">
        <v>2174</v>
      </c>
      <c r="H182" s="23" t="n">
        <v>456540</v>
      </c>
      <c r="I182" s="23" t="n">
        <v>456540</v>
      </c>
      <c r="J182" t="inlineStr">
        <is>
          <t>Jul</t>
        </is>
      </c>
      <c r="K182" t="n">
        <v>7</v>
      </c>
      <c r="L182" t="inlineStr">
        <is>
          <t>Q3</t>
        </is>
      </c>
      <c r="M182" t="n">
        <v>2024</v>
      </c>
      <c r="N182" s="22" t="n">
        <v>45474</v>
      </c>
      <c r="O182" s="24" t="n">
        <v>1</v>
      </c>
      <c r="P182" s="23" t="n">
        <v>0</v>
      </c>
    </row>
    <row r="183">
      <c r="A183" t="inlineStr">
        <is>
          <t>Augmentin 625 MG</t>
        </is>
      </c>
      <c r="B183" t="inlineStr">
        <is>
          <t>Ismailia</t>
        </is>
      </c>
      <c r="C183" s="22" t="n">
        <v>45474</v>
      </c>
      <c r="D183" t="inlineStr">
        <is>
          <t>Mariam Saeed</t>
        </is>
      </c>
      <c r="E183" t="n">
        <v>117</v>
      </c>
      <c r="F183" t="n">
        <v>2671</v>
      </c>
      <c r="G183" t="n">
        <v>3001</v>
      </c>
      <c r="H183" s="23" t="n">
        <v>312507</v>
      </c>
      <c r="I183" s="23" t="n">
        <v>351117</v>
      </c>
      <c r="J183" t="inlineStr">
        <is>
          <t>Jul</t>
        </is>
      </c>
      <c r="K183" t="n">
        <v>7</v>
      </c>
      <c r="L183" t="inlineStr">
        <is>
          <t>Q3</t>
        </is>
      </c>
      <c r="M183" t="n">
        <v>2024</v>
      </c>
      <c r="N183" s="22" t="n">
        <v>45474</v>
      </c>
      <c r="O183" s="24" t="n">
        <v>0.8900366544485172</v>
      </c>
      <c r="P183" s="23" t="n">
        <v>-38610</v>
      </c>
    </row>
    <row r="184">
      <c r="A184" t="inlineStr">
        <is>
          <t>Cataflam 50 MG</t>
        </is>
      </c>
      <c r="B184" t="inlineStr">
        <is>
          <t>Ismailia</t>
        </is>
      </c>
      <c r="C184" s="22" t="n">
        <v>45474</v>
      </c>
      <c r="D184" t="inlineStr">
        <is>
          <t>Mariam Saeed</t>
        </is>
      </c>
      <c r="E184" t="n">
        <v>86</v>
      </c>
      <c r="F184" t="n">
        <v>2210</v>
      </c>
      <c r="G184" t="n">
        <v>2448</v>
      </c>
      <c r="H184" s="23" t="n">
        <v>190060</v>
      </c>
      <c r="I184" s="23" t="n">
        <v>210528</v>
      </c>
      <c r="J184" t="inlineStr">
        <is>
          <t>Jul</t>
        </is>
      </c>
      <c r="K184" t="n">
        <v>7</v>
      </c>
      <c r="L184" t="inlineStr">
        <is>
          <t>Q3</t>
        </is>
      </c>
      <c r="M184" t="n">
        <v>2024</v>
      </c>
      <c r="N184" s="22" t="n">
        <v>45474</v>
      </c>
      <c r="O184" s="24" t="n">
        <v>0.9027777777777778</v>
      </c>
      <c r="P184" s="23" t="n">
        <v>-20468</v>
      </c>
    </row>
    <row r="185">
      <c r="A185" t="inlineStr">
        <is>
          <t>Cataflam 25 MG</t>
        </is>
      </c>
      <c r="B185" t="inlineStr">
        <is>
          <t>Ismailia</t>
        </is>
      </c>
      <c r="C185" s="22" t="n">
        <v>45474</v>
      </c>
      <c r="D185" t="inlineStr">
        <is>
          <t>Mariam Saeed</t>
        </is>
      </c>
      <c r="E185" t="n">
        <v>34</v>
      </c>
      <c r="F185" t="n">
        <v>3635</v>
      </c>
      <c r="G185" t="n">
        <v>3200</v>
      </c>
      <c r="H185" s="23" t="n">
        <v>123590</v>
      </c>
      <c r="I185" s="23" t="n">
        <v>108800</v>
      </c>
      <c r="J185" t="inlineStr">
        <is>
          <t>Jul</t>
        </is>
      </c>
      <c r="K185" t="n">
        <v>7</v>
      </c>
      <c r="L185" t="inlineStr">
        <is>
          <t>Q3</t>
        </is>
      </c>
      <c r="M185" t="n">
        <v>2024</v>
      </c>
      <c r="N185" s="22" t="n">
        <v>45474</v>
      </c>
      <c r="O185" s="24" t="n">
        <v>1.1359375</v>
      </c>
      <c r="P185" s="23" t="n">
        <v>14790</v>
      </c>
    </row>
    <row r="186">
      <c r="A186" t="inlineStr">
        <is>
          <t>Concor 10 MG</t>
        </is>
      </c>
      <c r="B186" t="inlineStr">
        <is>
          <t>Ismailia</t>
        </is>
      </c>
      <c r="C186" s="22" t="n">
        <v>45474</v>
      </c>
      <c r="D186" t="inlineStr">
        <is>
          <t>Mariam Saeed</t>
        </is>
      </c>
      <c r="E186" t="n">
        <v>99</v>
      </c>
      <c r="F186" t="n">
        <v>2878</v>
      </c>
      <c r="G186" t="n">
        <v>2945</v>
      </c>
      <c r="H186" s="23" t="n">
        <v>284922</v>
      </c>
      <c r="I186" s="23" t="n">
        <v>291555</v>
      </c>
      <c r="J186" t="inlineStr">
        <is>
          <t>Jul</t>
        </is>
      </c>
      <c r="K186" t="n">
        <v>7</v>
      </c>
      <c r="L186" t="inlineStr">
        <is>
          <t>Q3</t>
        </is>
      </c>
      <c r="M186" t="n">
        <v>2024</v>
      </c>
      <c r="N186" s="22" t="n">
        <v>45474</v>
      </c>
      <c r="O186" s="24" t="n">
        <v>0.9772495755517827</v>
      </c>
      <c r="P186" s="23" t="n">
        <v>-6633</v>
      </c>
    </row>
    <row r="187">
      <c r="A187" t="inlineStr">
        <is>
          <t>Concor 5 MG</t>
        </is>
      </c>
      <c r="B187" t="inlineStr">
        <is>
          <t>Ismailia</t>
        </is>
      </c>
      <c r="C187" s="22" t="n">
        <v>45474</v>
      </c>
      <c r="D187" t="inlineStr">
        <is>
          <t>Mariam Saeed</t>
        </is>
      </c>
      <c r="E187" t="n">
        <v>72</v>
      </c>
      <c r="F187" t="n">
        <v>3302</v>
      </c>
      <c r="G187" t="n">
        <v>3377</v>
      </c>
      <c r="H187" s="23" t="n">
        <v>237744</v>
      </c>
      <c r="I187" s="23" t="n">
        <v>243144</v>
      </c>
      <c r="J187" t="inlineStr">
        <is>
          <t>Jul</t>
        </is>
      </c>
      <c r="K187" t="n">
        <v>7</v>
      </c>
      <c r="L187" t="inlineStr">
        <is>
          <t>Q3</t>
        </is>
      </c>
      <c r="M187" t="n">
        <v>2024</v>
      </c>
      <c r="N187" s="22" t="n">
        <v>45474</v>
      </c>
      <c r="O187" s="24" t="n">
        <v>0.9777909387029908</v>
      </c>
      <c r="P187" s="23" t="n">
        <v>-5400</v>
      </c>
    </row>
    <row r="188">
      <c r="A188" t="inlineStr">
        <is>
          <t>Glucophage 1000 MG</t>
        </is>
      </c>
      <c r="B188" t="inlineStr">
        <is>
          <t>Ismailia</t>
        </is>
      </c>
      <c r="C188" s="22" t="n">
        <v>45474</v>
      </c>
      <c r="D188" t="inlineStr">
        <is>
          <t>Mariam Saeed</t>
        </is>
      </c>
      <c r="E188" t="n">
        <v>126</v>
      </c>
      <c r="F188" t="n">
        <v>3711</v>
      </c>
      <c r="G188" t="n">
        <v>3522</v>
      </c>
      <c r="H188" s="23" t="n">
        <v>467586</v>
      </c>
      <c r="I188" s="23" t="n">
        <v>443772</v>
      </c>
      <c r="J188" t="inlineStr">
        <is>
          <t>Jul</t>
        </is>
      </c>
      <c r="K188" t="n">
        <v>7</v>
      </c>
      <c r="L188" t="inlineStr">
        <is>
          <t>Q3</t>
        </is>
      </c>
      <c r="M188" t="n">
        <v>2024</v>
      </c>
      <c r="N188" s="22" t="n">
        <v>45474</v>
      </c>
      <c r="O188" s="24" t="n">
        <v>1.05366269165247</v>
      </c>
      <c r="P188" s="23" t="n">
        <v>23814</v>
      </c>
    </row>
    <row r="189">
      <c r="A189" t="inlineStr">
        <is>
          <t>Glucophage 500 MG</t>
        </is>
      </c>
      <c r="B189" t="inlineStr">
        <is>
          <t>Ismailia</t>
        </is>
      </c>
      <c r="C189" s="22" t="n">
        <v>45474</v>
      </c>
      <c r="D189" t="inlineStr">
        <is>
          <t>Mariam Saeed</t>
        </is>
      </c>
      <c r="E189" t="n">
        <v>77</v>
      </c>
      <c r="F189" t="n">
        <v>2222</v>
      </c>
      <c r="G189" t="n">
        <v>2140</v>
      </c>
      <c r="H189" s="23" t="n">
        <v>171094</v>
      </c>
      <c r="I189" s="23" t="n">
        <v>164780</v>
      </c>
      <c r="J189" t="inlineStr">
        <is>
          <t>Jul</t>
        </is>
      </c>
      <c r="K189" t="n">
        <v>7</v>
      </c>
      <c r="L189" t="inlineStr">
        <is>
          <t>Q3</t>
        </is>
      </c>
      <c r="M189" t="n">
        <v>2024</v>
      </c>
      <c r="N189" s="22" t="n">
        <v>45474</v>
      </c>
      <c r="O189" s="24" t="n">
        <v>1.038317757009346</v>
      </c>
      <c r="P189" s="23" t="n">
        <v>6314</v>
      </c>
    </row>
    <row r="190">
      <c r="A190" t="inlineStr">
        <is>
          <t>Panadol 500 MG</t>
        </is>
      </c>
      <c r="B190" t="inlineStr">
        <is>
          <t>Ismailia</t>
        </is>
      </c>
      <c r="C190" s="22" t="n">
        <v>45474</v>
      </c>
      <c r="D190" t="inlineStr">
        <is>
          <t>Mariam Saeed</t>
        </is>
      </c>
      <c r="E190" t="n">
        <v>75</v>
      </c>
      <c r="F190" t="n">
        <v>2973</v>
      </c>
      <c r="G190" t="n">
        <v>2757</v>
      </c>
      <c r="H190" s="23" t="n">
        <v>222975</v>
      </c>
      <c r="I190" s="23" t="n">
        <v>206775</v>
      </c>
      <c r="J190" t="inlineStr">
        <is>
          <t>Jul</t>
        </is>
      </c>
      <c r="K190" t="n">
        <v>7</v>
      </c>
      <c r="L190" t="inlineStr">
        <is>
          <t>Q3</t>
        </is>
      </c>
      <c r="M190" t="n">
        <v>2024</v>
      </c>
      <c r="N190" s="22" t="n">
        <v>45474</v>
      </c>
      <c r="O190" s="24" t="n">
        <v>1.078346028291621</v>
      </c>
      <c r="P190" s="23" t="n">
        <v>16200</v>
      </c>
    </row>
    <row r="191">
      <c r="A191" t="inlineStr">
        <is>
          <t>Panadol 250 MG</t>
        </is>
      </c>
      <c r="B191" t="inlineStr">
        <is>
          <t>Ismailia</t>
        </is>
      </c>
      <c r="C191" s="22" t="n">
        <v>45474</v>
      </c>
      <c r="D191" t="inlineStr">
        <is>
          <t>Mariam Saeed</t>
        </is>
      </c>
      <c r="E191" t="n">
        <v>45</v>
      </c>
      <c r="F191" t="n">
        <v>3400</v>
      </c>
      <c r="G191" t="n">
        <v>3920</v>
      </c>
      <c r="H191" s="23" t="n">
        <v>153000</v>
      </c>
      <c r="I191" s="23" t="n">
        <v>176400</v>
      </c>
      <c r="J191" t="inlineStr">
        <is>
          <t>Jul</t>
        </is>
      </c>
      <c r="K191" t="n">
        <v>7</v>
      </c>
      <c r="L191" t="inlineStr">
        <is>
          <t>Q3</t>
        </is>
      </c>
      <c r="M191" t="n">
        <v>2024</v>
      </c>
      <c r="N191" s="22" t="n">
        <v>45474</v>
      </c>
      <c r="O191" s="24" t="n">
        <v>0.8673469387755102</v>
      </c>
      <c r="P191" s="23" t="n">
        <v>-23400</v>
      </c>
    </row>
    <row r="192">
      <c r="A192" t="inlineStr">
        <is>
          <t>Augmentin 1000 MG</t>
        </is>
      </c>
      <c r="B192" t="inlineStr">
        <is>
          <t>Ismailia</t>
        </is>
      </c>
      <c r="C192" s="22" t="n">
        <v>45505</v>
      </c>
      <c r="D192" t="inlineStr">
        <is>
          <t>Mariam Saeed</t>
        </is>
      </c>
      <c r="E192" t="n">
        <v>210</v>
      </c>
      <c r="F192" t="n">
        <v>1855</v>
      </c>
      <c r="G192" t="n">
        <v>2016</v>
      </c>
      <c r="H192" s="23" t="n">
        <v>389550</v>
      </c>
      <c r="I192" s="23" t="n">
        <v>423360</v>
      </c>
      <c r="J192" t="inlineStr">
        <is>
          <t>Aug</t>
        </is>
      </c>
      <c r="K192" t="n">
        <v>8</v>
      </c>
      <c r="L192" t="inlineStr">
        <is>
          <t>Q3</t>
        </is>
      </c>
      <c r="M192" t="n">
        <v>2024</v>
      </c>
      <c r="N192" s="22" t="n">
        <v>45505</v>
      </c>
      <c r="O192" s="24" t="n">
        <v>0.9201388888888888</v>
      </c>
      <c r="P192" s="23" t="n">
        <v>-33810</v>
      </c>
    </row>
    <row r="193">
      <c r="A193" t="inlineStr">
        <is>
          <t>Augmentin 625 MG</t>
        </is>
      </c>
      <c r="B193" t="inlineStr">
        <is>
          <t>Ismailia</t>
        </is>
      </c>
      <c r="C193" s="22" t="n">
        <v>45505</v>
      </c>
      <c r="D193" t="inlineStr">
        <is>
          <t>Mariam Saeed</t>
        </is>
      </c>
      <c r="E193" t="n">
        <v>117</v>
      </c>
      <c r="F193" t="n">
        <v>1973</v>
      </c>
      <c r="G193" t="n">
        <v>2070</v>
      </c>
      <c r="H193" s="23" t="n">
        <v>230841</v>
      </c>
      <c r="I193" s="23" t="n">
        <v>242190</v>
      </c>
      <c r="J193" t="inlineStr">
        <is>
          <t>Aug</t>
        </is>
      </c>
      <c r="K193" t="n">
        <v>8</v>
      </c>
      <c r="L193" t="inlineStr">
        <is>
          <t>Q3</t>
        </is>
      </c>
      <c r="M193" t="n">
        <v>2024</v>
      </c>
      <c r="N193" s="22" t="n">
        <v>45505</v>
      </c>
      <c r="O193" s="24" t="n">
        <v>0.9531400966183575</v>
      </c>
      <c r="P193" s="23" t="n">
        <v>-11349</v>
      </c>
    </row>
    <row r="194">
      <c r="A194" t="inlineStr">
        <is>
          <t>Cataflam 50 MG</t>
        </is>
      </c>
      <c r="B194" t="inlineStr">
        <is>
          <t>Ismailia</t>
        </is>
      </c>
      <c r="C194" s="22" t="n">
        <v>45505</v>
      </c>
      <c r="D194" t="inlineStr">
        <is>
          <t>Mariam Saeed</t>
        </is>
      </c>
      <c r="E194" t="n">
        <v>86</v>
      </c>
      <c r="F194" t="n">
        <v>2913</v>
      </c>
      <c r="G194" t="n">
        <v>3292</v>
      </c>
      <c r="H194" s="23" t="n">
        <v>250518</v>
      </c>
      <c r="I194" s="23" t="n">
        <v>283112</v>
      </c>
      <c r="J194" t="inlineStr">
        <is>
          <t>Aug</t>
        </is>
      </c>
      <c r="K194" t="n">
        <v>8</v>
      </c>
      <c r="L194" t="inlineStr">
        <is>
          <t>Q3</t>
        </is>
      </c>
      <c r="M194" t="n">
        <v>2024</v>
      </c>
      <c r="N194" s="22" t="n">
        <v>45505</v>
      </c>
      <c r="O194" s="24" t="n">
        <v>0.8848724179829891</v>
      </c>
      <c r="P194" s="23" t="n">
        <v>-32594</v>
      </c>
    </row>
    <row r="195">
      <c r="A195" t="inlineStr">
        <is>
          <t>Cataflam 25 MG</t>
        </is>
      </c>
      <c r="B195" t="inlineStr">
        <is>
          <t>Ismailia</t>
        </is>
      </c>
      <c r="C195" s="22" t="n">
        <v>45505</v>
      </c>
      <c r="D195" t="inlineStr">
        <is>
          <t>Mariam Saeed</t>
        </is>
      </c>
      <c r="E195" t="n">
        <v>34</v>
      </c>
      <c r="F195" t="n">
        <v>3270</v>
      </c>
      <c r="G195" t="n">
        <v>3348</v>
      </c>
      <c r="H195" s="23" t="n">
        <v>111180</v>
      </c>
      <c r="I195" s="23" t="n">
        <v>113832</v>
      </c>
      <c r="J195" t="inlineStr">
        <is>
          <t>Aug</t>
        </is>
      </c>
      <c r="K195" t="n">
        <v>8</v>
      </c>
      <c r="L195" t="inlineStr">
        <is>
          <t>Q3</t>
        </is>
      </c>
      <c r="M195" t="n">
        <v>2024</v>
      </c>
      <c r="N195" s="22" t="n">
        <v>45505</v>
      </c>
      <c r="O195" s="24" t="n">
        <v>0.9767025089605734</v>
      </c>
      <c r="P195" s="23" t="n">
        <v>-2652</v>
      </c>
    </row>
    <row r="196">
      <c r="A196" t="inlineStr">
        <is>
          <t>Concor 10 MG</t>
        </is>
      </c>
      <c r="B196" t="inlineStr">
        <is>
          <t>Ismailia</t>
        </is>
      </c>
      <c r="C196" s="22" t="n">
        <v>45505</v>
      </c>
      <c r="D196" t="inlineStr">
        <is>
          <t>Mariam Saeed</t>
        </is>
      </c>
      <c r="E196" t="n">
        <v>99</v>
      </c>
      <c r="F196" t="n">
        <v>3542</v>
      </c>
      <c r="G196" t="n">
        <v>3817</v>
      </c>
      <c r="H196" s="23" t="n">
        <v>350658</v>
      </c>
      <c r="I196" s="23" t="n">
        <v>377883</v>
      </c>
      <c r="J196" t="inlineStr">
        <is>
          <t>Aug</t>
        </is>
      </c>
      <c r="K196" t="n">
        <v>8</v>
      </c>
      <c r="L196" t="inlineStr">
        <is>
          <t>Q3</t>
        </is>
      </c>
      <c r="M196" t="n">
        <v>2024</v>
      </c>
      <c r="N196" s="22" t="n">
        <v>45505</v>
      </c>
      <c r="O196" s="24" t="n">
        <v>0.9279538904899135</v>
      </c>
      <c r="P196" s="23" t="n">
        <v>-27225</v>
      </c>
    </row>
    <row r="197">
      <c r="A197" t="inlineStr">
        <is>
          <t>Concor 5 MG</t>
        </is>
      </c>
      <c r="B197" t="inlineStr">
        <is>
          <t>Ismailia</t>
        </is>
      </c>
      <c r="C197" s="22" t="n">
        <v>45505</v>
      </c>
      <c r="D197" t="inlineStr">
        <is>
          <t>Mariam Saeed</t>
        </is>
      </c>
      <c r="E197" t="n">
        <v>72</v>
      </c>
      <c r="F197" t="n">
        <v>2411</v>
      </c>
      <c r="G197" t="n">
        <v>2304</v>
      </c>
      <c r="H197" s="23" t="n">
        <v>173592</v>
      </c>
      <c r="I197" s="23" t="n">
        <v>165888</v>
      </c>
      <c r="J197" t="inlineStr">
        <is>
          <t>Aug</t>
        </is>
      </c>
      <c r="K197" t="n">
        <v>8</v>
      </c>
      <c r="L197" t="inlineStr">
        <is>
          <t>Q3</t>
        </is>
      </c>
      <c r="M197" t="n">
        <v>2024</v>
      </c>
      <c r="N197" s="22" t="n">
        <v>45505</v>
      </c>
      <c r="O197" s="24" t="n">
        <v>1.046440972222222</v>
      </c>
      <c r="P197" s="23" t="n">
        <v>7704</v>
      </c>
    </row>
    <row r="198">
      <c r="A198" t="inlineStr">
        <is>
          <t>Glucophage 1000 MG</t>
        </is>
      </c>
      <c r="B198" t="inlineStr">
        <is>
          <t>Ismailia</t>
        </is>
      </c>
      <c r="C198" s="22" t="n">
        <v>45505</v>
      </c>
      <c r="D198" t="inlineStr">
        <is>
          <t>Mariam Saeed</t>
        </is>
      </c>
      <c r="E198" t="n">
        <v>126</v>
      </c>
      <c r="F198" t="n">
        <v>3571</v>
      </c>
      <c r="G198" t="n">
        <v>3474</v>
      </c>
      <c r="H198" s="23" t="n">
        <v>449946</v>
      </c>
      <c r="I198" s="23" t="n">
        <v>437724</v>
      </c>
      <c r="J198" t="inlineStr">
        <is>
          <t>Aug</t>
        </is>
      </c>
      <c r="K198" t="n">
        <v>8</v>
      </c>
      <c r="L198" t="inlineStr">
        <is>
          <t>Q3</t>
        </is>
      </c>
      <c r="M198" t="n">
        <v>2024</v>
      </c>
      <c r="N198" s="22" t="n">
        <v>45505</v>
      </c>
      <c r="O198" s="24" t="n">
        <v>1.027921704087507</v>
      </c>
      <c r="P198" s="23" t="n">
        <v>12222</v>
      </c>
    </row>
    <row r="199">
      <c r="A199" t="inlineStr">
        <is>
          <t>Glucophage 500 MG</t>
        </is>
      </c>
      <c r="B199" t="inlineStr">
        <is>
          <t>Ismailia</t>
        </is>
      </c>
      <c r="C199" s="22" t="n">
        <v>45505</v>
      </c>
      <c r="D199" t="inlineStr">
        <is>
          <t>Mariam Saeed</t>
        </is>
      </c>
      <c r="E199" t="n">
        <v>77</v>
      </c>
      <c r="F199" t="n">
        <v>2687</v>
      </c>
      <c r="G199" t="n">
        <v>3030</v>
      </c>
      <c r="H199" s="23" t="n">
        <v>206899</v>
      </c>
      <c r="I199" s="23" t="n">
        <v>233310</v>
      </c>
      <c r="J199" t="inlineStr">
        <is>
          <t>Aug</t>
        </is>
      </c>
      <c r="K199" t="n">
        <v>8</v>
      </c>
      <c r="L199" t="inlineStr">
        <is>
          <t>Q3</t>
        </is>
      </c>
      <c r="M199" t="n">
        <v>2024</v>
      </c>
      <c r="N199" s="22" t="n">
        <v>45505</v>
      </c>
      <c r="O199" s="24" t="n">
        <v>0.8867986798679868</v>
      </c>
      <c r="P199" s="23" t="n">
        <v>-26411</v>
      </c>
    </row>
    <row r="200">
      <c r="A200" t="inlineStr">
        <is>
          <t>Panadol 500 MG</t>
        </is>
      </c>
      <c r="B200" t="inlineStr">
        <is>
          <t>Ismailia</t>
        </is>
      </c>
      <c r="C200" s="22" t="n">
        <v>45505</v>
      </c>
      <c r="D200" t="inlineStr">
        <is>
          <t>Mariam Saeed</t>
        </is>
      </c>
      <c r="E200" t="n">
        <v>75</v>
      </c>
      <c r="F200" t="n">
        <v>3217</v>
      </c>
      <c r="G200" t="n">
        <v>3337</v>
      </c>
      <c r="H200" s="23" t="n">
        <v>241275</v>
      </c>
      <c r="I200" s="23" t="n">
        <v>250275</v>
      </c>
      <c r="J200" t="inlineStr">
        <is>
          <t>Aug</t>
        </is>
      </c>
      <c r="K200" t="n">
        <v>8</v>
      </c>
      <c r="L200" t="inlineStr">
        <is>
          <t>Q3</t>
        </is>
      </c>
      <c r="M200" t="n">
        <v>2024</v>
      </c>
      <c r="N200" s="22" t="n">
        <v>45505</v>
      </c>
      <c r="O200" s="24" t="n">
        <v>0.9640395564878633</v>
      </c>
      <c r="P200" s="23" t="n">
        <v>-9000</v>
      </c>
    </row>
    <row r="201">
      <c r="A201" t="inlineStr">
        <is>
          <t>Panadol 250 MG</t>
        </is>
      </c>
      <c r="B201" t="inlineStr">
        <is>
          <t>Ismailia</t>
        </is>
      </c>
      <c r="C201" s="22" t="n">
        <v>45505</v>
      </c>
      <c r="D201" t="inlineStr">
        <is>
          <t>Mariam Saeed</t>
        </is>
      </c>
      <c r="E201" t="n">
        <v>45</v>
      </c>
      <c r="F201" t="n">
        <v>2421</v>
      </c>
      <c r="G201" t="n">
        <v>2816</v>
      </c>
      <c r="H201" s="23" t="n">
        <v>108945</v>
      </c>
      <c r="I201" s="23" t="n">
        <v>126720</v>
      </c>
      <c r="J201" t="inlineStr">
        <is>
          <t>Aug</t>
        </is>
      </c>
      <c r="K201" t="n">
        <v>8</v>
      </c>
      <c r="L201" t="inlineStr">
        <is>
          <t>Q3</t>
        </is>
      </c>
      <c r="M201" t="n">
        <v>2024</v>
      </c>
      <c r="N201" s="22" t="n">
        <v>45505</v>
      </c>
      <c r="O201" s="24" t="n">
        <v>0.8597301136363636</v>
      </c>
      <c r="P201" s="23" t="n">
        <v>-17775</v>
      </c>
    </row>
    <row r="202">
      <c r="A202" t="inlineStr">
        <is>
          <t>Augmentin 1000 MG</t>
        </is>
      </c>
      <c r="B202" t="inlineStr">
        <is>
          <t>Ismailia</t>
        </is>
      </c>
      <c r="C202" s="22" t="n">
        <v>45536</v>
      </c>
      <c r="D202" t="inlineStr">
        <is>
          <t>Mariam Saeed</t>
        </is>
      </c>
      <c r="E202" t="n">
        <v>210</v>
      </c>
      <c r="F202" t="n">
        <v>2864</v>
      </c>
      <c r="G202" t="n">
        <v>2793</v>
      </c>
      <c r="H202" s="23" t="n">
        <v>601440</v>
      </c>
      <c r="I202" s="23" t="n">
        <v>586530</v>
      </c>
      <c r="J202" t="inlineStr">
        <is>
          <t>Sep</t>
        </is>
      </c>
      <c r="K202" t="n">
        <v>9</v>
      </c>
      <c r="L202" t="inlineStr">
        <is>
          <t>Q3</t>
        </is>
      </c>
      <c r="M202" t="n">
        <v>2024</v>
      </c>
      <c r="N202" s="22" t="n">
        <v>45536</v>
      </c>
      <c r="O202" s="24" t="n">
        <v>1.025420694593627</v>
      </c>
      <c r="P202" s="23" t="n">
        <v>14910</v>
      </c>
    </row>
    <row r="203">
      <c r="A203" t="inlineStr">
        <is>
          <t>Augmentin 625 MG</t>
        </is>
      </c>
      <c r="B203" t="inlineStr">
        <is>
          <t>Ismailia</t>
        </is>
      </c>
      <c r="C203" s="22" t="n">
        <v>45536</v>
      </c>
      <c r="D203" t="inlineStr">
        <is>
          <t>Mariam Saeed</t>
        </is>
      </c>
      <c r="E203" t="n">
        <v>117</v>
      </c>
      <c r="F203" t="n">
        <v>3276</v>
      </c>
      <c r="G203" t="n">
        <v>3403</v>
      </c>
      <c r="H203" s="23" t="n">
        <v>383292</v>
      </c>
      <c r="I203" s="23" t="n">
        <v>398151</v>
      </c>
      <c r="J203" t="inlineStr">
        <is>
          <t>Sep</t>
        </is>
      </c>
      <c r="K203" t="n">
        <v>9</v>
      </c>
      <c r="L203" t="inlineStr">
        <is>
          <t>Q3</t>
        </is>
      </c>
      <c r="M203" t="n">
        <v>2024</v>
      </c>
      <c r="N203" s="22" t="n">
        <v>45536</v>
      </c>
      <c r="O203" s="24" t="n">
        <v>0.9626799882456656</v>
      </c>
      <c r="P203" s="23" t="n">
        <v>-14859</v>
      </c>
    </row>
    <row r="204">
      <c r="A204" t="inlineStr">
        <is>
          <t>Cataflam 50 MG</t>
        </is>
      </c>
      <c r="B204" t="inlineStr">
        <is>
          <t>Ismailia</t>
        </is>
      </c>
      <c r="C204" s="22" t="n">
        <v>45536</v>
      </c>
      <c r="D204" t="inlineStr">
        <is>
          <t>Mariam Saeed</t>
        </is>
      </c>
      <c r="E204" t="n">
        <v>86</v>
      </c>
      <c r="F204" t="n">
        <v>3105</v>
      </c>
      <c r="G204" t="n">
        <v>3167</v>
      </c>
      <c r="H204" s="23" t="n">
        <v>267030</v>
      </c>
      <c r="I204" s="23" t="n">
        <v>272362</v>
      </c>
      <c r="J204" t="inlineStr">
        <is>
          <t>Sep</t>
        </is>
      </c>
      <c r="K204" t="n">
        <v>9</v>
      </c>
      <c r="L204" t="inlineStr">
        <is>
          <t>Q3</t>
        </is>
      </c>
      <c r="M204" t="n">
        <v>2024</v>
      </c>
      <c r="N204" s="22" t="n">
        <v>45536</v>
      </c>
      <c r="O204" s="24" t="n">
        <v>0.9804231133564888</v>
      </c>
      <c r="P204" s="23" t="n">
        <v>-5332</v>
      </c>
    </row>
    <row r="205">
      <c r="A205" t="inlineStr">
        <is>
          <t>Cataflam 25 MG</t>
        </is>
      </c>
      <c r="B205" t="inlineStr">
        <is>
          <t>Ismailia</t>
        </is>
      </c>
      <c r="C205" s="22" t="n">
        <v>45536</v>
      </c>
      <c r="D205" t="inlineStr">
        <is>
          <t>Mariam Saeed</t>
        </is>
      </c>
      <c r="E205" t="n">
        <v>34</v>
      </c>
      <c r="F205" t="n">
        <v>1982</v>
      </c>
      <c r="G205" t="n">
        <v>2024</v>
      </c>
      <c r="H205" s="23" t="n">
        <v>67388</v>
      </c>
      <c r="I205" s="23" t="n">
        <v>68816</v>
      </c>
      <c r="J205" t="inlineStr">
        <is>
          <t>Sep</t>
        </is>
      </c>
      <c r="K205" t="n">
        <v>9</v>
      </c>
      <c r="L205" t="inlineStr">
        <is>
          <t>Q3</t>
        </is>
      </c>
      <c r="M205" t="n">
        <v>2024</v>
      </c>
      <c r="N205" s="22" t="n">
        <v>45536</v>
      </c>
      <c r="O205" s="24" t="n">
        <v>0.9792490118577075</v>
      </c>
      <c r="P205" s="23" t="n">
        <v>-1428</v>
      </c>
    </row>
    <row r="206">
      <c r="A206" t="inlineStr">
        <is>
          <t>Concor 10 MG</t>
        </is>
      </c>
      <c r="B206" t="inlineStr">
        <is>
          <t>Ismailia</t>
        </is>
      </c>
      <c r="C206" s="22" t="n">
        <v>45536</v>
      </c>
      <c r="D206" t="inlineStr">
        <is>
          <t>Mariam Saeed</t>
        </is>
      </c>
      <c r="E206" t="n">
        <v>99</v>
      </c>
      <c r="F206" t="n">
        <v>2543</v>
      </c>
      <c r="G206" t="n">
        <v>3845</v>
      </c>
      <c r="H206" s="23" t="n">
        <v>251757</v>
      </c>
      <c r="I206" s="23" t="n">
        <v>380655</v>
      </c>
      <c r="J206" t="inlineStr">
        <is>
          <t>Sep</t>
        </is>
      </c>
      <c r="K206" t="n">
        <v>9</v>
      </c>
      <c r="L206" t="inlineStr">
        <is>
          <t>Q3</t>
        </is>
      </c>
      <c r="M206" t="n">
        <v>2024</v>
      </c>
      <c r="N206" s="22" t="n">
        <v>45536</v>
      </c>
      <c r="O206" s="24" t="n">
        <v>0.6613784135240572</v>
      </c>
      <c r="P206" s="23" t="n">
        <v>-128898</v>
      </c>
    </row>
    <row r="207">
      <c r="A207" t="inlineStr">
        <is>
          <t>Concor 5 MG</t>
        </is>
      </c>
      <c r="B207" t="inlineStr">
        <is>
          <t>Ismailia</t>
        </is>
      </c>
      <c r="C207" s="22" t="n">
        <v>45536</v>
      </c>
      <c r="D207" t="inlineStr">
        <is>
          <t>Mariam Saeed</t>
        </is>
      </c>
      <c r="E207" t="n">
        <v>72</v>
      </c>
      <c r="F207" t="n">
        <v>2299</v>
      </c>
      <c r="G207" t="n">
        <v>2667</v>
      </c>
      <c r="H207" s="23" t="n">
        <v>165528</v>
      </c>
      <c r="I207" s="23" t="n">
        <v>192024</v>
      </c>
      <c r="J207" t="inlineStr">
        <is>
          <t>Sep</t>
        </is>
      </c>
      <c r="K207" t="n">
        <v>9</v>
      </c>
      <c r="L207" t="inlineStr">
        <is>
          <t>Q3</t>
        </is>
      </c>
      <c r="M207" t="n">
        <v>2024</v>
      </c>
      <c r="N207" s="22" t="n">
        <v>45536</v>
      </c>
      <c r="O207" s="24" t="n">
        <v>0.8620172478440195</v>
      </c>
      <c r="P207" s="23" t="n">
        <v>-26496</v>
      </c>
    </row>
    <row r="208">
      <c r="A208" t="inlineStr">
        <is>
          <t>Glucophage 1000 MG</t>
        </is>
      </c>
      <c r="B208" t="inlineStr">
        <is>
          <t>Ismailia</t>
        </is>
      </c>
      <c r="C208" s="22" t="n">
        <v>45536</v>
      </c>
      <c r="D208" t="inlineStr">
        <is>
          <t>Mariam Saeed</t>
        </is>
      </c>
      <c r="E208" t="n">
        <v>126</v>
      </c>
      <c r="F208" t="n">
        <v>3181</v>
      </c>
      <c r="G208" t="n">
        <v>3096</v>
      </c>
      <c r="H208" s="23" t="n">
        <v>400806</v>
      </c>
      <c r="I208" s="23" t="n">
        <v>390096</v>
      </c>
      <c r="J208" t="inlineStr">
        <is>
          <t>Sep</t>
        </is>
      </c>
      <c r="K208" t="n">
        <v>9</v>
      </c>
      <c r="L208" t="inlineStr">
        <is>
          <t>Q3</t>
        </is>
      </c>
      <c r="M208" t="n">
        <v>2024</v>
      </c>
      <c r="N208" s="22" t="n">
        <v>45536</v>
      </c>
      <c r="O208" s="24" t="n">
        <v>1.027454780361757</v>
      </c>
      <c r="P208" s="23" t="n">
        <v>10710</v>
      </c>
    </row>
    <row r="209">
      <c r="A209" t="inlineStr">
        <is>
          <t>Glucophage 500 MG</t>
        </is>
      </c>
      <c r="B209" t="inlineStr">
        <is>
          <t>Ismailia</t>
        </is>
      </c>
      <c r="C209" s="22" t="n">
        <v>45536</v>
      </c>
      <c r="D209" t="inlineStr">
        <is>
          <t>Mariam Saeed</t>
        </is>
      </c>
      <c r="E209" t="n">
        <v>77</v>
      </c>
      <c r="F209" t="n">
        <v>2619</v>
      </c>
      <c r="G209" t="n">
        <v>2631</v>
      </c>
      <c r="H209" s="23" t="n">
        <v>201663</v>
      </c>
      <c r="I209" s="23" t="n">
        <v>202587</v>
      </c>
      <c r="J209" t="inlineStr">
        <is>
          <t>Sep</t>
        </is>
      </c>
      <c r="K209" t="n">
        <v>9</v>
      </c>
      <c r="L209" t="inlineStr">
        <is>
          <t>Q3</t>
        </is>
      </c>
      <c r="M209" t="n">
        <v>2024</v>
      </c>
      <c r="N209" s="22" t="n">
        <v>45536</v>
      </c>
      <c r="O209" s="24" t="n">
        <v>0.9954389965792474</v>
      </c>
      <c r="P209" s="23" t="n">
        <v>-924</v>
      </c>
    </row>
    <row r="210">
      <c r="A210" t="inlineStr">
        <is>
          <t>Panadol 500 MG</t>
        </is>
      </c>
      <c r="B210" t="inlineStr">
        <is>
          <t>Ismailia</t>
        </is>
      </c>
      <c r="C210" s="22" t="n">
        <v>45536</v>
      </c>
      <c r="D210" t="inlineStr">
        <is>
          <t>Mariam Saeed</t>
        </is>
      </c>
      <c r="E210" t="n">
        <v>75</v>
      </c>
      <c r="F210" t="n">
        <v>3460</v>
      </c>
      <c r="G210" t="n">
        <v>3847</v>
      </c>
      <c r="H210" s="23" t="n">
        <v>259500</v>
      </c>
      <c r="I210" s="23" t="n">
        <v>288525</v>
      </c>
      <c r="J210" t="inlineStr">
        <is>
          <t>Sep</t>
        </is>
      </c>
      <c r="K210" t="n">
        <v>9</v>
      </c>
      <c r="L210" t="inlineStr">
        <is>
          <t>Q3</t>
        </is>
      </c>
      <c r="M210" t="n">
        <v>2024</v>
      </c>
      <c r="N210" s="22" t="n">
        <v>45536</v>
      </c>
      <c r="O210" s="24" t="n">
        <v>0.8994021315310632</v>
      </c>
      <c r="P210" s="23" t="n">
        <v>-29025</v>
      </c>
    </row>
    <row r="211">
      <c r="A211" t="inlineStr">
        <is>
          <t>Panadol 250 MG</t>
        </is>
      </c>
      <c r="B211" t="inlineStr">
        <is>
          <t>Ismailia</t>
        </is>
      </c>
      <c r="C211" s="22" t="n">
        <v>45536</v>
      </c>
      <c r="D211" t="inlineStr">
        <is>
          <t>Mariam Saeed</t>
        </is>
      </c>
      <c r="E211" t="n">
        <v>45</v>
      </c>
      <c r="F211" t="n">
        <v>3325</v>
      </c>
      <c r="G211" t="n">
        <v>3856</v>
      </c>
      <c r="H211" s="23" t="n">
        <v>149625</v>
      </c>
      <c r="I211" s="23" t="n">
        <v>173520</v>
      </c>
      <c r="J211" t="inlineStr">
        <is>
          <t>Sep</t>
        </is>
      </c>
      <c r="K211" t="n">
        <v>9</v>
      </c>
      <c r="L211" t="inlineStr">
        <is>
          <t>Q3</t>
        </is>
      </c>
      <c r="M211" t="n">
        <v>2024</v>
      </c>
      <c r="N211" s="22" t="n">
        <v>45536</v>
      </c>
      <c r="O211" s="24" t="n">
        <v>0.862292531120332</v>
      </c>
      <c r="P211" s="23" t="n">
        <v>-23895</v>
      </c>
    </row>
    <row r="212">
      <c r="A212" t="inlineStr">
        <is>
          <t>Augmentin 1000 MG</t>
        </is>
      </c>
      <c r="B212" t="inlineStr">
        <is>
          <t>Ismailia</t>
        </is>
      </c>
      <c r="C212" s="22" t="n">
        <v>45566</v>
      </c>
      <c r="D212" t="inlineStr">
        <is>
          <t>Mariam Saeed</t>
        </is>
      </c>
      <c r="E212" t="n">
        <v>210</v>
      </c>
      <c r="F212" t="n">
        <v>3068</v>
      </c>
      <c r="G212" t="n">
        <v>2961</v>
      </c>
      <c r="H212" s="23" t="n">
        <v>644280</v>
      </c>
      <c r="I212" s="23" t="n">
        <v>621810</v>
      </c>
      <c r="J212" t="inlineStr">
        <is>
          <t>Oct</t>
        </is>
      </c>
      <c r="K212" t="n">
        <v>10</v>
      </c>
      <c r="L212" t="inlineStr">
        <is>
          <t>Q4</t>
        </is>
      </c>
      <c r="M212" t="n">
        <v>2024</v>
      </c>
      <c r="N212" s="22" t="n">
        <v>45566</v>
      </c>
      <c r="O212" s="24" t="n">
        <v>1.036136440391759</v>
      </c>
      <c r="P212" s="23" t="n">
        <v>22470</v>
      </c>
    </row>
    <row r="213">
      <c r="A213" t="inlineStr">
        <is>
          <t>Augmentin 625 MG</t>
        </is>
      </c>
      <c r="B213" t="inlineStr">
        <is>
          <t>Ismailia</t>
        </is>
      </c>
      <c r="C213" s="22" t="n">
        <v>45566</v>
      </c>
      <c r="D213" t="inlineStr">
        <is>
          <t>Mariam Saeed</t>
        </is>
      </c>
      <c r="E213" t="n">
        <v>117</v>
      </c>
      <c r="F213" t="n">
        <v>3390</v>
      </c>
      <c r="G213" t="n">
        <v>3125</v>
      </c>
      <c r="H213" s="23" t="n">
        <v>396630</v>
      </c>
      <c r="I213" s="23" t="n">
        <v>365625</v>
      </c>
      <c r="J213" t="inlineStr">
        <is>
          <t>Oct</t>
        </is>
      </c>
      <c r="K213" t="n">
        <v>10</v>
      </c>
      <c r="L213" t="inlineStr">
        <is>
          <t>Q4</t>
        </is>
      </c>
      <c r="M213" t="n">
        <v>2024</v>
      </c>
      <c r="N213" s="22" t="n">
        <v>45566</v>
      </c>
      <c r="O213" s="24" t="n">
        <v>1.0848</v>
      </c>
      <c r="P213" s="23" t="n">
        <v>31005</v>
      </c>
    </row>
    <row r="214">
      <c r="A214" t="inlineStr">
        <is>
          <t>Cataflam 50 MG</t>
        </is>
      </c>
      <c r="B214" t="inlineStr">
        <is>
          <t>Ismailia</t>
        </is>
      </c>
      <c r="C214" s="22" t="n">
        <v>45566</v>
      </c>
      <c r="D214" t="inlineStr">
        <is>
          <t>Mariam Saeed</t>
        </is>
      </c>
      <c r="E214" t="n">
        <v>86</v>
      </c>
      <c r="F214" t="n">
        <v>2459</v>
      </c>
      <c r="G214" t="n">
        <v>2428</v>
      </c>
      <c r="H214" s="23" t="n">
        <v>211474</v>
      </c>
      <c r="I214" s="23" t="n">
        <v>208808</v>
      </c>
      <c r="J214" t="inlineStr">
        <is>
          <t>Oct</t>
        </is>
      </c>
      <c r="K214" t="n">
        <v>10</v>
      </c>
      <c r="L214" t="inlineStr">
        <is>
          <t>Q4</t>
        </is>
      </c>
      <c r="M214" t="n">
        <v>2024</v>
      </c>
      <c r="N214" s="22" t="n">
        <v>45566</v>
      </c>
      <c r="O214" s="24" t="n">
        <v>1.012767710049423</v>
      </c>
      <c r="P214" s="23" t="n">
        <v>2666</v>
      </c>
    </row>
    <row r="215">
      <c r="A215" t="inlineStr">
        <is>
          <t>Cataflam 25 MG</t>
        </is>
      </c>
      <c r="B215" t="inlineStr">
        <is>
          <t>Ismailia</t>
        </is>
      </c>
      <c r="C215" s="22" t="n">
        <v>45566</v>
      </c>
      <c r="D215" t="inlineStr">
        <is>
          <t>Mariam Saeed</t>
        </is>
      </c>
      <c r="E215" t="n">
        <v>34</v>
      </c>
      <c r="F215" t="n">
        <v>3435</v>
      </c>
      <c r="G215" t="n">
        <v>3806</v>
      </c>
      <c r="H215" s="23" t="n">
        <v>116790</v>
      </c>
      <c r="I215" s="23" t="n">
        <v>129404</v>
      </c>
      <c r="J215" t="inlineStr">
        <is>
          <t>Oct</t>
        </is>
      </c>
      <c r="K215" t="n">
        <v>10</v>
      </c>
      <c r="L215" t="inlineStr">
        <is>
          <t>Q4</t>
        </is>
      </c>
      <c r="M215" t="n">
        <v>2024</v>
      </c>
      <c r="N215" s="22" t="n">
        <v>45566</v>
      </c>
      <c r="O215" s="24" t="n">
        <v>0.9025223331581713</v>
      </c>
      <c r="P215" s="23" t="n">
        <v>-12614</v>
      </c>
    </row>
    <row r="216">
      <c r="A216" t="inlineStr">
        <is>
          <t>Concor 10 MG</t>
        </is>
      </c>
      <c r="B216" t="inlineStr">
        <is>
          <t>Ismailia</t>
        </is>
      </c>
      <c r="C216" s="22" t="n">
        <v>45566</v>
      </c>
      <c r="D216" t="inlineStr">
        <is>
          <t>Mariam Saeed</t>
        </is>
      </c>
      <c r="E216" t="n">
        <v>99</v>
      </c>
      <c r="F216" t="n">
        <v>2968</v>
      </c>
      <c r="G216" t="n">
        <v>2898</v>
      </c>
      <c r="H216" s="23" t="n">
        <v>293832</v>
      </c>
      <c r="I216" s="23" t="n">
        <v>286902</v>
      </c>
      <c r="J216" t="inlineStr">
        <is>
          <t>Oct</t>
        </is>
      </c>
      <c r="K216" t="n">
        <v>10</v>
      </c>
      <c r="L216" t="inlineStr">
        <is>
          <t>Q4</t>
        </is>
      </c>
      <c r="M216" t="n">
        <v>2024</v>
      </c>
      <c r="N216" s="22" t="n">
        <v>45566</v>
      </c>
      <c r="O216" s="24" t="n">
        <v>1.024154589371981</v>
      </c>
      <c r="P216" s="23" t="n">
        <v>6930</v>
      </c>
    </row>
    <row r="217">
      <c r="A217" t="inlineStr">
        <is>
          <t>Concor 5 MG</t>
        </is>
      </c>
      <c r="B217" t="inlineStr">
        <is>
          <t>Ismailia</t>
        </is>
      </c>
      <c r="C217" s="22" t="n">
        <v>45566</v>
      </c>
      <c r="D217" t="inlineStr">
        <is>
          <t>Mariam Saeed</t>
        </is>
      </c>
      <c r="E217" t="n">
        <v>72</v>
      </c>
      <c r="F217" t="n">
        <v>1983</v>
      </c>
      <c r="G217" t="n">
        <v>2138</v>
      </c>
      <c r="H217" s="23" t="n">
        <v>142776</v>
      </c>
      <c r="I217" s="23" t="n">
        <v>153936</v>
      </c>
      <c r="J217" t="inlineStr">
        <is>
          <t>Oct</t>
        </is>
      </c>
      <c r="K217" t="n">
        <v>10</v>
      </c>
      <c r="L217" t="inlineStr">
        <is>
          <t>Q4</t>
        </is>
      </c>
      <c r="M217" t="n">
        <v>2024</v>
      </c>
      <c r="N217" s="22" t="n">
        <v>45566</v>
      </c>
      <c r="O217" s="24" t="n">
        <v>0.9275023386342376</v>
      </c>
      <c r="P217" s="23" t="n">
        <v>-11160</v>
      </c>
    </row>
    <row r="218">
      <c r="A218" t="inlineStr">
        <is>
          <t>Glucophage 1000 MG</t>
        </is>
      </c>
      <c r="B218" t="inlineStr">
        <is>
          <t>Ismailia</t>
        </is>
      </c>
      <c r="C218" s="22" t="n">
        <v>45566</v>
      </c>
      <c r="D218" t="inlineStr">
        <is>
          <t>Mariam Saeed</t>
        </is>
      </c>
      <c r="E218" t="n">
        <v>126</v>
      </c>
      <c r="F218" t="n">
        <v>2650</v>
      </c>
      <c r="G218" t="n">
        <v>3716</v>
      </c>
      <c r="H218" s="23" t="n">
        <v>333900</v>
      </c>
      <c r="I218" s="23" t="n">
        <v>468216</v>
      </c>
      <c r="J218" t="inlineStr">
        <is>
          <t>Oct</t>
        </is>
      </c>
      <c r="K218" t="n">
        <v>10</v>
      </c>
      <c r="L218" t="inlineStr">
        <is>
          <t>Q4</t>
        </is>
      </c>
      <c r="M218" t="n">
        <v>2024</v>
      </c>
      <c r="N218" s="22" t="n">
        <v>45566</v>
      </c>
      <c r="O218" s="24" t="n">
        <v>0.7131324004305705</v>
      </c>
      <c r="P218" s="23" t="n">
        <v>-134316</v>
      </c>
    </row>
    <row r="219">
      <c r="A219" t="inlineStr">
        <is>
          <t>Glucophage 500 MG</t>
        </is>
      </c>
      <c r="B219" t="inlineStr">
        <is>
          <t>Ismailia</t>
        </is>
      </c>
      <c r="C219" s="22" t="n">
        <v>45566</v>
      </c>
      <c r="D219" t="inlineStr">
        <is>
          <t>Mariam Saeed</t>
        </is>
      </c>
      <c r="E219" t="n">
        <v>77</v>
      </c>
      <c r="F219" t="n">
        <v>2748</v>
      </c>
      <c r="G219" t="n">
        <v>2941</v>
      </c>
      <c r="H219" s="23" t="n">
        <v>211596</v>
      </c>
      <c r="I219" s="23" t="n">
        <v>226457</v>
      </c>
      <c r="J219" t="inlineStr">
        <is>
          <t>Oct</t>
        </is>
      </c>
      <c r="K219" t="n">
        <v>10</v>
      </c>
      <c r="L219" t="inlineStr">
        <is>
          <t>Q4</t>
        </is>
      </c>
      <c r="M219" t="n">
        <v>2024</v>
      </c>
      <c r="N219" s="22" t="n">
        <v>45566</v>
      </c>
      <c r="O219" s="24" t="n">
        <v>0.9343760625637538</v>
      </c>
      <c r="P219" s="23" t="n">
        <v>-14861</v>
      </c>
    </row>
    <row r="220">
      <c r="A220" t="inlineStr">
        <is>
          <t>Panadol 500 MG</t>
        </is>
      </c>
      <c r="B220" t="inlineStr">
        <is>
          <t>Ismailia</t>
        </is>
      </c>
      <c r="C220" s="22" t="n">
        <v>45566</v>
      </c>
      <c r="D220" t="inlineStr">
        <is>
          <t>Mariam Saeed</t>
        </is>
      </c>
      <c r="E220" t="n">
        <v>75</v>
      </c>
      <c r="F220" t="n">
        <v>2554</v>
      </c>
      <c r="G220" t="n">
        <v>2541</v>
      </c>
      <c r="H220" s="23" t="n">
        <v>191550</v>
      </c>
      <c r="I220" s="23" t="n">
        <v>190575</v>
      </c>
      <c r="J220" t="inlineStr">
        <is>
          <t>Oct</t>
        </is>
      </c>
      <c r="K220" t="n">
        <v>10</v>
      </c>
      <c r="L220" t="inlineStr">
        <is>
          <t>Q4</t>
        </is>
      </c>
      <c r="M220" t="n">
        <v>2024</v>
      </c>
      <c r="N220" s="22" t="n">
        <v>45566</v>
      </c>
      <c r="O220" s="24" t="n">
        <v>1.005116096025187</v>
      </c>
      <c r="P220" s="23" t="n">
        <v>975</v>
      </c>
    </row>
    <row r="221">
      <c r="A221" t="inlineStr">
        <is>
          <t>Panadol 250 MG</t>
        </is>
      </c>
      <c r="B221" t="inlineStr">
        <is>
          <t>Ismailia</t>
        </is>
      </c>
      <c r="C221" s="22" t="n">
        <v>45566</v>
      </c>
      <c r="D221" t="inlineStr">
        <is>
          <t>Mariam Saeed</t>
        </is>
      </c>
      <c r="E221" t="n">
        <v>45</v>
      </c>
      <c r="F221" t="n">
        <v>1895</v>
      </c>
      <c r="G221" t="n">
        <v>2056</v>
      </c>
      <c r="H221" s="23" t="n">
        <v>85275</v>
      </c>
      <c r="I221" s="23" t="n">
        <v>92520</v>
      </c>
      <c r="J221" t="inlineStr">
        <is>
          <t>Oct</t>
        </is>
      </c>
      <c r="K221" t="n">
        <v>10</v>
      </c>
      <c r="L221" t="inlineStr">
        <is>
          <t>Q4</t>
        </is>
      </c>
      <c r="M221" t="n">
        <v>2024</v>
      </c>
      <c r="N221" s="22" t="n">
        <v>45566</v>
      </c>
      <c r="O221" s="24" t="n">
        <v>0.921692607003891</v>
      </c>
      <c r="P221" s="23" t="n">
        <v>-7245</v>
      </c>
    </row>
    <row r="222">
      <c r="A222" t="inlineStr">
        <is>
          <t>Augmentin 1000 MG</t>
        </is>
      </c>
      <c r="B222" t="inlineStr">
        <is>
          <t>Ismailia</t>
        </is>
      </c>
      <c r="C222" s="22" t="n">
        <v>45597</v>
      </c>
      <c r="D222" t="inlineStr">
        <is>
          <t>Mariam Saeed</t>
        </is>
      </c>
      <c r="E222" t="n">
        <v>210</v>
      </c>
      <c r="F222" t="n">
        <v>3455</v>
      </c>
      <c r="G222" t="n">
        <v>3358</v>
      </c>
      <c r="H222" s="23" t="n">
        <v>725550</v>
      </c>
      <c r="I222" s="23" t="n">
        <v>705180</v>
      </c>
      <c r="J222" t="inlineStr">
        <is>
          <t>Nov</t>
        </is>
      </c>
      <c r="K222" t="n">
        <v>11</v>
      </c>
      <c r="L222" t="inlineStr">
        <is>
          <t>Q4</t>
        </is>
      </c>
      <c r="M222" t="n">
        <v>2024</v>
      </c>
      <c r="N222" s="22" t="n">
        <v>45597</v>
      </c>
      <c r="O222" s="24" t="n">
        <v>1.028886241810602</v>
      </c>
      <c r="P222" s="23" t="n">
        <v>20370</v>
      </c>
    </row>
    <row r="223">
      <c r="A223" t="inlineStr">
        <is>
          <t>Augmentin 625 MG</t>
        </is>
      </c>
      <c r="B223" t="inlineStr">
        <is>
          <t>Ismailia</t>
        </is>
      </c>
      <c r="C223" s="22" t="n">
        <v>45597</v>
      </c>
      <c r="D223" t="inlineStr">
        <is>
          <t>Mariam Saeed</t>
        </is>
      </c>
      <c r="E223" t="n">
        <v>117</v>
      </c>
      <c r="F223" t="n">
        <v>2372</v>
      </c>
      <c r="G223" t="n">
        <v>2731</v>
      </c>
      <c r="H223" s="23" t="n">
        <v>277524</v>
      </c>
      <c r="I223" s="23" t="n">
        <v>319527</v>
      </c>
      <c r="J223" t="inlineStr">
        <is>
          <t>Nov</t>
        </is>
      </c>
      <c r="K223" t="n">
        <v>11</v>
      </c>
      <c r="L223" t="inlineStr">
        <is>
          <t>Q4</t>
        </is>
      </c>
      <c r="M223" t="n">
        <v>2024</v>
      </c>
      <c r="N223" s="22" t="n">
        <v>45597</v>
      </c>
      <c r="O223" s="24" t="n">
        <v>0.8685463200292933</v>
      </c>
      <c r="P223" s="23" t="n">
        <v>-42003</v>
      </c>
    </row>
    <row r="224">
      <c r="A224" t="inlineStr">
        <is>
          <t>Cataflam 50 MG</t>
        </is>
      </c>
      <c r="B224" t="inlineStr">
        <is>
          <t>Ismailia</t>
        </is>
      </c>
      <c r="C224" s="22" t="n">
        <v>45597</v>
      </c>
      <c r="D224" t="inlineStr">
        <is>
          <t>Mariam Saeed</t>
        </is>
      </c>
      <c r="E224" t="n">
        <v>86</v>
      </c>
      <c r="F224" t="n">
        <v>2283</v>
      </c>
      <c r="G224" t="n">
        <v>2115</v>
      </c>
      <c r="H224" s="23" t="n">
        <v>196338</v>
      </c>
      <c r="I224" s="23" t="n">
        <v>181890</v>
      </c>
      <c r="J224" t="inlineStr">
        <is>
          <t>Nov</t>
        </is>
      </c>
      <c r="K224" t="n">
        <v>11</v>
      </c>
      <c r="L224" t="inlineStr">
        <is>
          <t>Q4</t>
        </is>
      </c>
      <c r="M224" t="n">
        <v>2024</v>
      </c>
      <c r="N224" s="22" t="n">
        <v>45597</v>
      </c>
      <c r="O224" s="24" t="n">
        <v>1.079432624113475</v>
      </c>
      <c r="P224" s="23" t="n">
        <v>14448</v>
      </c>
    </row>
    <row r="225">
      <c r="A225" t="inlineStr">
        <is>
          <t>Cataflam 25 MG</t>
        </is>
      </c>
      <c r="B225" t="inlineStr">
        <is>
          <t>Ismailia</t>
        </is>
      </c>
      <c r="C225" s="22" t="n">
        <v>45597</v>
      </c>
      <c r="D225" t="inlineStr">
        <is>
          <t>Mariam Saeed</t>
        </is>
      </c>
      <c r="E225" t="n">
        <v>34</v>
      </c>
      <c r="F225" t="n">
        <v>2924</v>
      </c>
      <c r="G225" t="n">
        <v>2824</v>
      </c>
      <c r="H225" s="23" t="n">
        <v>99416</v>
      </c>
      <c r="I225" s="23" t="n">
        <v>96016</v>
      </c>
      <c r="J225" t="inlineStr">
        <is>
          <t>Nov</t>
        </is>
      </c>
      <c r="K225" t="n">
        <v>11</v>
      </c>
      <c r="L225" t="inlineStr">
        <is>
          <t>Q4</t>
        </is>
      </c>
      <c r="M225" t="n">
        <v>2024</v>
      </c>
      <c r="N225" s="22" t="n">
        <v>45597</v>
      </c>
      <c r="O225" s="24" t="n">
        <v>1.035410764872521</v>
      </c>
      <c r="P225" s="23" t="n">
        <v>3400</v>
      </c>
    </row>
    <row r="226">
      <c r="A226" t="inlineStr">
        <is>
          <t>Concor 10 MG</t>
        </is>
      </c>
      <c r="B226" t="inlineStr">
        <is>
          <t>Ismailia</t>
        </is>
      </c>
      <c r="C226" s="22" t="n">
        <v>45597</v>
      </c>
      <c r="D226" t="inlineStr">
        <is>
          <t>Mariam Saeed</t>
        </is>
      </c>
      <c r="E226" t="n">
        <v>99</v>
      </c>
      <c r="F226" t="n">
        <v>2869</v>
      </c>
      <c r="G226" t="n">
        <v>3072</v>
      </c>
      <c r="H226" s="23" t="n">
        <v>284031</v>
      </c>
      <c r="I226" s="23" t="n">
        <v>304128</v>
      </c>
      <c r="J226" t="inlineStr">
        <is>
          <t>Nov</t>
        </is>
      </c>
      <c r="K226" t="n">
        <v>11</v>
      </c>
      <c r="L226" t="inlineStr">
        <is>
          <t>Q4</t>
        </is>
      </c>
      <c r="M226" t="n">
        <v>2024</v>
      </c>
      <c r="N226" s="22" t="n">
        <v>45597</v>
      </c>
      <c r="O226" s="24" t="n">
        <v>0.9339192708333334</v>
      </c>
      <c r="P226" s="23" t="n">
        <v>-20097</v>
      </c>
    </row>
    <row r="227">
      <c r="A227" t="inlineStr">
        <is>
          <t>Concor 5 MG</t>
        </is>
      </c>
      <c r="B227" t="inlineStr">
        <is>
          <t>Ismailia</t>
        </is>
      </c>
      <c r="C227" s="22" t="n">
        <v>45597</v>
      </c>
      <c r="D227" t="inlineStr">
        <is>
          <t>Mariam Saeed</t>
        </is>
      </c>
      <c r="E227" t="n">
        <v>72</v>
      </c>
      <c r="F227" t="n">
        <v>2525</v>
      </c>
      <c r="G227" t="n">
        <v>2684</v>
      </c>
      <c r="H227" s="23" t="n">
        <v>181800</v>
      </c>
      <c r="I227" s="23" t="n">
        <v>193248</v>
      </c>
      <c r="J227" t="inlineStr">
        <is>
          <t>Nov</t>
        </is>
      </c>
      <c r="K227" t="n">
        <v>11</v>
      </c>
      <c r="L227" t="inlineStr">
        <is>
          <t>Q4</t>
        </is>
      </c>
      <c r="M227" t="n">
        <v>2024</v>
      </c>
      <c r="N227" s="22" t="n">
        <v>45597</v>
      </c>
      <c r="O227" s="24" t="n">
        <v>0.9407600596125186</v>
      </c>
      <c r="P227" s="23" t="n">
        <v>-11448</v>
      </c>
    </row>
    <row r="228">
      <c r="A228" t="inlineStr">
        <is>
          <t>Glucophage 1000 MG</t>
        </is>
      </c>
      <c r="B228" t="inlineStr">
        <is>
          <t>Ismailia</t>
        </is>
      </c>
      <c r="C228" s="22" t="n">
        <v>45597</v>
      </c>
      <c r="D228" t="inlineStr">
        <is>
          <t>Mariam Saeed</t>
        </is>
      </c>
      <c r="E228" t="n">
        <v>126</v>
      </c>
      <c r="F228" t="n">
        <v>2032</v>
      </c>
      <c r="G228" t="n">
        <v>2081</v>
      </c>
      <c r="H228" s="23" t="n">
        <v>256032</v>
      </c>
      <c r="I228" s="23" t="n">
        <v>262206</v>
      </c>
      <c r="J228" t="inlineStr">
        <is>
          <t>Nov</t>
        </is>
      </c>
      <c r="K228" t="n">
        <v>11</v>
      </c>
      <c r="L228" t="inlineStr">
        <is>
          <t>Q4</t>
        </is>
      </c>
      <c r="M228" t="n">
        <v>2024</v>
      </c>
      <c r="N228" s="22" t="n">
        <v>45597</v>
      </c>
      <c r="O228" s="24" t="n">
        <v>0.9764536280634311</v>
      </c>
      <c r="P228" s="23" t="n">
        <v>-6174</v>
      </c>
    </row>
    <row r="229">
      <c r="A229" t="inlineStr">
        <is>
          <t>Glucophage 500 MG</t>
        </is>
      </c>
      <c r="B229" t="inlineStr">
        <is>
          <t>Ismailia</t>
        </is>
      </c>
      <c r="C229" s="22" t="n">
        <v>45597</v>
      </c>
      <c r="D229" t="inlineStr">
        <is>
          <t>Mariam Saeed</t>
        </is>
      </c>
      <c r="E229" t="n">
        <v>77</v>
      </c>
      <c r="F229" t="n">
        <v>2664</v>
      </c>
      <c r="G229" t="n">
        <v>2833</v>
      </c>
      <c r="H229" s="23" t="n">
        <v>205128</v>
      </c>
      <c r="I229" s="23" t="n">
        <v>218141</v>
      </c>
      <c r="J229" t="inlineStr">
        <is>
          <t>Nov</t>
        </is>
      </c>
      <c r="K229" t="n">
        <v>11</v>
      </c>
      <c r="L229" t="inlineStr">
        <is>
          <t>Q4</t>
        </is>
      </c>
      <c r="M229" t="n">
        <v>2024</v>
      </c>
      <c r="N229" s="22" t="n">
        <v>45597</v>
      </c>
      <c r="O229" s="24" t="n">
        <v>0.9403459230497706</v>
      </c>
      <c r="P229" s="23" t="n">
        <v>-13013</v>
      </c>
    </row>
    <row r="230">
      <c r="A230" t="inlineStr">
        <is>
          <t>Panadol 500 MG</t>
        </is>
      </c>
      <c r="B230" t="inlineStr">
        <is>
          <t>Ismailia</t>
        </is>
      </c>
      <c r="C230" s="22" t="n">
        <v>45597</v>
      </c>
      <c r="D230" t="inlineStr">
        <is>
          <t>Mariam Saeed</t>
        </is>
      </c>
      <c r="E230" t="n">
        <v>75</v>
      </c>
      <c r="F230" t="n">
        <v>2439</v>
      </c>
      <c r="G230" t="n">
        <v>2332</v>
      </c>
      <c r="H230" s="23" t="n">
        <v>182925</v>
      </c>
      <c r="I230" s="23" t="n">
        <v>174900</v>
      </c>
      <c r="J230" t="inlineStr">
        <is>
          <t>Nov</t>
        </is>
      </c>
      <c r="K230" t="n">
        <v>11</v>
      </c>
      <c r="L230" t="inlineStr">
        <is>
          <t>Q4</t>
        </is>
      </c>
      <c r="M230" t="n">
        <v>2024</v>
      </c>
      <c r="N230" s="22" t="n">
        <v>45597</v>
      </c>
      <c r="O230" s="24" t="n">
        <v>1.045883361921098</v>
      </c>
      <c r="P230" s="23" t="n">
        <v>8025</v>
      </c>
    </row>
    <row r="231">
      <c r="A231" t="inlineStr">
        <is>
          <t>Panadol 250 MG</t>
        </is>
      </c>
      <c r="B231" t="inlineStr">
        <is>
          <t>Ismailia</t>
        </is>
      </c>
      <c r="C231" s="22" t="n">
        <v>45597</v>
      </c>
      <c r="D231" t="inlineStr">
        <is>
          <t>Mariam Saeed</t>
        </is>
      </c>
      <c r="E231" t="n">
        <v>45</v>
      </c>
      <c r="F231" t="n">
        <v>2795</v>
      </c>
      <c r="G231" t="n">
        <v>2556</v>
      </c>
      <c r="H231" s="23" t="n">
        <v>125775</v>
      </c>
      <c r="I231" s="23" t="n">
        <v>115020</v>
      </c>
      <c r="J231" t="inlineStr">
        <is>
          <t>Nov</t>
        </is>
      </c>
      <c r="K231" t="n">
        <v>11</v>
      </c>
      <c r="L231" t="inlineStr">
        <is>
          <t>Q4</t>
        </is>
      </c>
      <c r="M231" t="n">
        <v>2024</v>
      </c>
      <c r="N231" s="22" t="n">
        <v>45597</v>
      </c>
      <c r="O231" s="24" t="n">
        <v>1.093505477308294</v>
      </c>
      <c r="P231" s="23" t="n">
        <v>10755</v>
      </c>
    </row>
    <row r="232">
      <c r="A232" t="inlineStr">
        <is>
          <t>Augmentin 1000 MG</t>
        </is>
      </c>
      <c r="B232" t="inlineStr">
        <is>
          <t>Ismailia</t>
        </is>
      </c>
      <c r="C232" s="22" t="n">
        <v>45627</v>
      </c>
      <c r="D232" t="inlineStr">
        <is>
          <t>Mariam Saeed</t>
        </is>
      </c>
      <c r="E232" t="n">
        <v>210</v>
      </c>
      <c r="F232" t="n">
        <v>3069</v>
      </c>
      <c r="G232" t="n">
        <v>2950</v>
      </c>
      <c r="H232" s="23" t="n">
        <v>644490</v>
      </c>
      <c r="I232" s="23" t="n">
        <v>619500</v>
      </c>
      <c r="J232" t="inlineStr">
        <is>
          <t>Dec</t>
        </is>
      </c>
      <c r="K232" t="n">
        <v>12</v>
      </c>
      <c r="L232" t="inlineStr">
        <is>
          <t>Q4</t>
        </is>
      </c>
      <c r="M232" t="n">
        <v>2024</v>
      </c>
      <c r="N232" s="22" t="n">
        <v>45627</v>
      </c>
      <c r="O232" s="24" t="n">
        <v>1.040338983050847</v>
      </c>
      <c r="P232" s="23" t="n">
        <v>24990</v>
      </c>
    </row>
    <row r="233">
      <c r="A233" t="inlineStr">
        <is>
          <t>Augmentin 625 MG</t>
        </is>
      </c>
      <c r="B233" t="inlineStr">
        <is>
          <t>Ismailia</t>
        </is>
      </c>
      <c r="C233" s="22" t="n">
        <v>45627</v>
      </c>
      <c r="D233" t="inlineStr">
        <is>
          <t>Mariam Saeed</t>
        </is>
      </c>
      <c r="E233" t="n">
        <v>117</v>
      </c>
      <c r="F233" t="n">
        <v>2251</v>
      </c>
      <c r="G233" t="n">
        <v>2573</v>
      </c>
      <c r="H233" s="23" t="n">
        <v>263367</v>
      </c>
      <c r="I233" s="23" t="n">
        <v>301041</v>
      </c>
      <c r="J233" t="inlineStr">
        <is>
          <t>Dec</t>
        </is>
      </c>
      <c r="K233" t="n">
        <v>12</v>
      </c>
      <c r="L233" t="inlineStr">
        <is>
          <t>Q4</t>
        </is>
      </c>
      <c r="M233" t="n">
        <v>2024</v>
      </c>
      <c r="N233" s="22" t="n">
        <v>45627</v>
      </c>
      <c r="O233" s="24" t="n">
        <v>0.8748542557326079</v>
      </c>
      <c r="P233" s="23" t="n">
        <v>-37674</v>
      </c>
    </row>
    <row r="234">
      <c r="A234" t="inlineStr">
        <is>
          <t>Cataflam 50 MG</t>
        </is>
      </c>
      <c r="B234" t="inlineStr">
        <is>
          <t>Ismailia</t>
        </is>
      </c>
      <c r="C234" s="22" t="n">
        <v>45627</v>
      </c>
      <c r="D234" t="inlineStr">
        <is>
          <t>Mariam Saeed</t>
        </is>
      </c>
      <c r="E234" t="n">
        <v>86</v>
      </c>
      <c r="F234" t="n">
        <v>2509</v>
      </c>
      <c r="G234" t="n">
        <v>2643</v>
      </c>
      <c r="H234" s="23" t="n">
        <v>215774</v>
      </c>
      <c r="I234" s="23" t="n">
        <v>227298</v>
      </c>
      <c r="J234" t="inlineStr">
        <is>
          <t>Dec</t>
        </is>
      </c>
      <c r="K234" t="n">
        <v>12</v>
      </c>
      <c r="L234" t="inlineStr">
        <is>
          <t>Q4</t>
        </is>
      </c>
      <c r="M234" t="n">
        <v>2024</v>
      </c>
      <c r="N234" s="22" t="n">
        <v>45627</v>
      </c>
      <c r="O234" s="24" t="n">
        <v>0.9493000378357926</v>
      </c>
      <c r="P234" s="23" t="n">
        <v>-11524</v>
      </c>
    </row>
    <row r="235">
      <c r="A235" t="inlineStr">
        <is>
          <t>Cataflam 25 MG</t>
        </is>
      </c>
      <c r="B235" t="inlineStr">
        <is>
          <t>Ismailia</t>
        </is>
      </c>
      <c r="C235" s="22" t="n">
        <v>45627</v>
      </c>
      <c r="D235" t="inlineStr">
        <is>
          <t>Mariam Saeed</t>
        </is>
      </c>
      <c r="E235" t="n">
        <v>34</v>
      </c>
      <c r="F235" t="n">
        <v>3092</v>
      </c>
      <c r="G235" t="n">
        <v>3530</v>
      </c>
      <c r="H235" s="23" t="n">
        <v>105128</v>
      </c>
      <c r="I235" s="23" t="n">
        <v>120020</v>
      </c>
      <c r="J235" t="inlineStr">
        <is>
          <t>Dec</t>
        </is>
      </c>
      <c r="K235" t="n">
        <v>12</v>
      </c>
      <c r="L235" t="inlineStr">
        <is>
          <t>Q4</t>
        </is>
      </c>
      <c r="M235" t="n">
        <v>2024</v>
      </c>
      <c r="N235" s="22" t="n">
        <v>45627</v>
      </c>
      <c r="O235" s="24" t="n">
        <v>0.8759206798866855</v>
      </c>
      <c r="P235" s="23" t="n">
        <v>-14892</v>
      </c>
    </row>
    <row r="236">
      <c r="A236" t="inlineStr">
        <is>
          <t>Concor 10 MG</t>
        </is>
      </c>
      <c r="B236" t="inlineStr">
        <is>
          <t>Ismailia</t>
        </is>
      </c>
      <c r="C236" s="22" t="n">
        <v>45627</v>
      </c>
      <c r="D236" t="inlineStr">
        <is>
          <t>Mariam Saeed</t>
        </is>
      </c>
      <c r="E236" t="n">
        <v>99</v>
      </c>
      <c r="F236" t="n">
        <v>3808</v>
      </c>
      <c r="G236" t="n">
        <v>3595</v>
      </c>
      <c r="H236" s="23" t="n">
        <v>376992</v>
      </c>
      <c r="I236" s="23" t="n">
        <v>355905</v>
      </c>
      <c r="J236" t="inlineStr">
        <is>
          <t>Dec</t>
        </is>
      </c>
      <c r="K236" t="n">
        <v>12</v>
      </c>
      <c r="L236" t="inlineStr">
        <is>
          <t>Q4</t>
        </is>
      </c>
      <c r="M236" t="n">
        <v>2024</v>
      </c>
      <c r="N236" s="22" t="n">
        <v>45627</v>
      </c>
      <c r="O236" s="24" t="n">
        <v>1.059248956884562</v>
      </c>
      <c r="P236" s="23" t="n">
        <v>21087</v>
      </c>
    </row>
    <row r="237">
      <c r="A237" t="inlineStr">
        <is>
          <t>Concor 5 MG</t>
        </is>
      </c>
      <c r="B237" t="inlineStr">
        <is>
          <t>Ismailia</t>
        </is>
      </c>
      <c r="C237" s="22" t="n">
        <v>45627</v>
      </c>
      <c r="D237" t="inlineStr">
        <is>
          <t>Mariam Saeed</t>
        </is>
      </c>
      <c r="E237" t="n">
        <v>72</v>
      </c>
      <c r="F237" t="n">
        <v>2563</v>
      </c>
      <c r="G237" t="n">
        <v>3907</v>
      </c>
      <c r="H237" s="23" t="n">
        <v>184536</v>
      </c>
      <c r="I237" s="23" t="n">
        <v>281304</v>
      </c>
      <c r="J237" t="inlineStr">
        <is>
          <t>Dec</t>
        </is>
      </c>
      <c r="K237" t="n">
        <v>12</v>
      </c>
      <c r="L237" t="inlineStr">
        <is>
          <t>Q4</t>
        </is>
      </c>
      <c r="M237" t="n">
        <v>2024</v>
      </c>
      <c r="N237" s="22" t="n">
        <v>45627</v>
      </c>
      <c r="O237" s="24" t="n">
        <v>0.6560020476068594</v>
      </c>
      <c r="P237" s="23" t="n">
        <v>-96768</v>
      </c>
    </row>
    <row r="238">
      <c r="A238" t="inlineStr">
        <is>
          <t>Glucophage 1000 MG</t>
        </is>
      </c>
      <c r="B238" t="inlineStr">
        <is>
          <t>Ismailia</t>
        </is>
      </c>
      <c r="C238" s="22" t="n">
        <v>45627</v>
      </c>
      <c r="D238" t="inlineStr">
        <is>
          <t>Mariam Saeed</t>
        </is>
      </c>
      <c r="E238" t="n">
        <v>126</v>
      </c>
      <c r="F238" t="n">
        <v>2907</v>
      </c>
      <c r="G238" t="n">
        <v>2842</v>
      </c>
      <c r="H238" s="23" t="n">
        <v>366282</v>
      </c>
      <c r="I238" s="23" t="n">
        <v>358092</v>
      </c>
      <c r="J238" t="inlineStr">
        <is>
          <t>Dec</t>
        </is>
      </c>
      <c r="K238" t="n">
        <v>12</v>
      </c>
      <c r="L238" t="inlineStr">
        <is>
          <t>Q4</t>
        </is>
      </c>
      <c r="M238" t="n">
        <v>2024</v>
      </c>
      <c r="N238" s="22" t="n">
        <v>45627</v>
      </c>
      <c r="O238" s="24" t="n">
        <v>1.022871217452498</v>
      </c>
      <c r="P238" s="23" t="n">
        <v>8190</v>
      </c>
    </row>
    <row r="239">
      <c r="A239" t="inlineStr">
        <is>
          <t>Glucophage 500 MG</t>
        </is>
      </c>
      <c r="B239" t="inlineStr">
        <is>
          <t>Ismailia</t>
        </is>
      </c>
      <c r="C239" s="22" t="n">
        <v>45627</v>
      </c>
      <c r="D239" t="inlineStr">
        <is>
          <t>Mariam Saeed</t>
        </is>
      </c>
      <c r="E239" t="n">
        <v>77</v>
      </c>
      <c r="F239" t="n">
        <v>3210</v>
      </c>
      <c r="G239" t="n">
        <v>3145</v>
      </c>
      <c r="H239" s="23" t="n">
        <v>247170</v>
      </c>
      <c r="I239" s="23" t="n">
        <v>242165</v>
      </c>
      <c r="J239" t="inlineStr">
        <is>
          <t>Dec</t>
        </is>
      </c>
      <c r="K239" t="n">
        <v>12</v>
      </c>
      <c r="L239" t="inlineStr">
        <is>
          <t>Q4</t>
        </is>
      </c>
      <c r="M239" t="n">
        <v>2024</v>
      </c>
      <c r="N239" s="22" t="n">
        <v>45627</v>
      </c>
      <c r="O239" s="24" t="n">
        <v>1.020667726550079</v>
      </c>
      <c r="P239" s="23" t="n">
        <v>5005</v>
      </c>
    </row>
    <row r="240">
      <c r="A240" t="inlineStr">
        <is>
          <t>Panadol 500 MG</t>
        </is>
      </c>
      <c r="B240" t="inlineStr">
        <is>
          <t>Ismailia</t>
        </is>
      </c>
      <c r="C240" s="22" t="n">
        <v>45627</v>
      </c>
      <c r="D240" t="inlineStr">
        <is>
          <t>Mariam Saeed</t>
        </is>
      </c>
      <c r="E240" t="n">
        <v>75</v>
      </c>
      <c r="F240" t="n">
        <v>3714</v>
      </c>
      <c r="G240" t="n">
        <v>3502</v>
      </c>
      <c r="H240" s="23" t="n">
        <v>278550</v>
      </c>
      <c r="I240" s="23" t="n">
        <v>262650</v>
      </c>
      <c r="J240" t="inlineStr">
        <is>
          <t>Dec</t>
        </is>
      </c>
      <c r="K240" t="n">
        <v>12</v>
      </c>
      <c r="L240" t="inlineStr">
        <is>
          <t>Q4</t>
        </is>
      </c>
      <c r="M240" t="n">
        <v>2024</v>
      </c>
      <c r="N240" s="22" t="n">
        <v>45627</v>
      </c>
      <c r="O240" s="24" t="n">
        <v>1.060536836093661</v>
      </c>
      <c r="P240" s="23" t="n">
        <v>15900</v>
      </c>
    </row>
    <row r="241">
      <c r="A241" t="inlineStr">
        <is>
          <t>Panadol 250 MG</t>
        </is>
      </c>
      <c r="B241" t="inlineStr">
        <is>
          <t>Ismailia</t>
        </is>
      </c>
      <c r="C241" s="22" t="n">
        <v>45627</v>
      </c>
      <c r="D241" t="inlineStr">
        <is>
          <t>Mariam Saeed</t>
        </is>
      </c>
      <c r="E241" t="n">
        <v>45</v>
      </c>
      <c r="F241" t="n">
        <v>2312</v>
      </c>
      <c r="G241" t="n">
        <v>2618</v>
      </c>
      <c r="H241" s="23" t="n">
        <v>104040</v>
      </c>
      <c r="I241" s="23" t="n">
        <v>117810</v>
      </c>
      <c r="J241" t="inlineStr">
        <is>
          <t>Dec</t>
        </is>
      </c>
      <c r="K241" t="n">
        <v>12</v>
      </c>
      <c r="L241" t="inlineStr">
        <is>
          <t>Q4</t>
        </is>
      </c>
      <c r="M241" t="n">
        <v>2024</v>
      </c>
      <c r="N241" s="22" t="n">
        <v>45627</v>
      </c>
      <c r="O241" s="24" t="n">
        <v>0.8831168831168831</v>
      </c>
      <c r="P241" s="23" t="n">
        <v>-13770</v>
      </c>
    </row>
    <row r="242">
      <c r="A242" t="inlineStr">
        <is>
          <t>Panadol 250 MG</t>
        </is>
      </c>
      <c r="B242" t="inlineStr">
        <is>
          <t>Alexandria 1</t>
        </is>
      </c>
      <c r="C242" s="22" t="n">
        <v>45292</v>
      </c>
      <c r="D242" t="inlineStr">
        <is>
          <t>Ahmed Hassan</t>
        </is>
      </c>
      <c r="E242" t="n">
        <v>45</v>
      </c>
      <c r="F242" t="n">
        <v>3633</v>
      </c>
      <c r="G242" t="n">
        <v>3332</v>
      </c>
      <c r="H242" s="23" t="n">
        <v>163485</v>
      </c>
      <c r="I242" s="23" t="n">
        <v>149940</v>
      </c>
      <c r="J242" t="inlineStr">
        <is>
          <t>Jan</t>
        </is>
      </c>
      <c r="K242" t="n">
        <v>1</v>
      </c>
      <c r="L242" t="inlineStr">
        <is>
          <t>Q1</t>
        </is>
      </c>
      <c r="M242" t="n">
        <v>2024</v>
      </c>
      <c r="N242" s="22" t="n">
        <v>45292</v>
      </c>
      <c r="O242" s="24" t="n">
        <v>1.090336134453781</v>
      </c>
      <c r="P242" s="23" t="n">
        <v>13545</v>
      </c>
    </row>
    <row r="243">
      <c r="A243" t="inlineStr">
        <is>
          <t>Panadol 250 MG</t>
        </is>
      </c>
      <c r="B243" t="inlineStr">
        <is>
          <t>Alexandria 1</t>
        </is>
      </c>
      <c r="C243" s="22" t="n">
        <v>45323</v>
      </c>
      <c r="D243" t="inlineStr">
        <is>
          <t>Ahmed Hassan</t>
        </is>
      </c>
      <c r="E243" t="n">
        <v>45</v>
      </c>
      <c r="F243" t="n">
        <v>1836</v>
      </c>
      <c r="G243" t="n">
        <v>2021</v>
      </c>
      <c r="H243" s="23" t="n">
        <v>82620</v>
      </c>
      <c r="I243" s="23" t="n">
        <v>90945</v>
      </c>
      <c r="J243" t="inlineStr">
        <is>
          <t>Feb</t>
        </is>
      </c>
      <c r="K243" t="n">
        <v>2</v>
      </c>
      <c r="L243" t="inlineStr">
        <is>
          <t>Q1</t>
        </is>
      </c>
      <c r="M243" t="n">
        <v>2024</v>
      </c>
      <c r="N243" s="22" t="n">
        <v>45323</v>
      </c>
      <c r="O243" s="24" t="n">
        <v>0.9084611578426521</v>
      </c>
      <c r="P243" s="23" t="n">
        <v>-8325</v>
      </c>
    </row>
    <row r="244">
      <c r="A244" t="inlineStr">
        <is>
          <t>Panadol 250 MG</t>
        </is>
      </c>
      <c r="B244" t="inlineStr">
        <is>
          <t>Alexandria 1</t>
        </is>
      </c>
      <c r="C244" s="22" t="n">
        <v>45352</v>
      </c>
      <c r="D244" t="inlineStr">
        <is>
          <t>Ahmed Hassan</t>
        </is>
      </c>
      <c r="E244" t="n">
        <v>45</v>
      </c>
      <c r="F244" t="n">
        <v>3915</v>
      </c>
      <c r="G244" t="n">
        <v>3000</v>
      </c>
      <c r="H244" s="23" t="n">
        <v>176175</v>
      </c>
      <c r="I244" s="23" t="n">
        <v>135000</v>
      </c>
      <c r="J244" t="inlineStr">
        <is>
          <t>Mar</t>
        </is>
      </c>
      <c r="K244" t="n">
        <v>3</v>
      </c>
      <c r="L244" t="inlineStr">
        <is>
          <t>Q1</t>
        </is>
      </c>
      <c r="M244" t="n">
        <v>2024</v>
      </c>
      <c r="N244" s="22" t="n">
        <v>45352</v>
      </c>
      <c r="O244" s="24" t="n">
        <v>1.305</v>
      </c>
      <c r="P244" s="23" t="n">
        <v>41175</v>
      </c>
    </row>
    <row r="245">
      <c r="A245" t="inlineStr">
        <is>
          <t>Panadol 250 MG</t>
        </is>
      </c>
      <c r="B245" t="inlineStr">
        <is>
          <t>Alexandria 1</t>
        </is>
      </c>
      <c r="C245" s="22" t="n">
        <v>45383</v>
      </c>
      <c r="D245" t="inlineStr">
        <is>
          <t>Ahmed Hassan</t>
        </is>
      </c>
      <c r="E245" t="n">
        <v>45</v>
      </c>
      <c r="F245" t="n">
        <v>2360</v>
      </c>
      <c r="G245" t="n">
        <v>2205</v>
      </c>
      <c r="H245" s="23" t="n">
        <v>106200</v>
      </c>
      <c r="I245" s="23" t="n">
        <v>99225</v>
      </c>
      <c r="J245" t="inlineStr">
        <is>
          <t>Apr</t>
        </is>
      </c>
      <c r="K245" t="n">
        <v>4</v>
      </c>
      <c r="L245" t="inlineStr">
        <is>
          <t>Q2</t>
        </is>
      </c>
      <c r="M245" t="n">
        <v>2024</v>
      </c>
      <c r="N245" s="22" t="n">
        <v>45383</v>
      </c>
      <c r="O245" s="24" t="n">
        <v>1.070294784580499</v>
      </c>
      <c r="P245" s="23" t="n">
        <v>6975</v>
      </c>
    </row>
    <row r="246">
      <c r="A246" t="inlineStr">
        <is>
          <t>Panadol 250 MG</t>
        </is>
      </c>
      <c r="B246" t="inlineStr">
        <is>
          <t>Alexandria 1</t>
        </is>
      </c>
      <c r="C246" s="22" t="n">
        <v>45413</v>
      </c>
      <c r="D246" t="inlineStr">
        <is>
          <t>Ahmed Hassan</t>
        </is>
      </c>
      <c r="E246" t="n">
        <v>45</v>
      </c>
      <c r="F246" t="n">
        <v>3530</v>
      </c>
      <c r="G246" t="n">
        <v>3294</v>
      </c>
      <c r="H246" s="23" t="n">
        <v>158850</v>
      </c>
      <c r="I246" s="23" t="n">
        <v>148230</v>
      </c>
      <c r="J246" t="inlineStr">
        <is>
          <t>May</t>
        </is>
      </c>
      <c r="K246" t="n">
        <v>5</v>
      </c>
      <c r="L246" t="inlineStr">
        <is>
          <t>Q2</t>
        </is>
      </c>
      <c r="M246" t="n">
        <v>2024</v>
      </c>
      <c r="N246" s="22" t="n">
        <v>45413</v>
      </c>
      <c r="O246" s="24" t="n">
        <v>1.071645415907711</v>
      </c>
      <c r="P246" s="23" t="n">
        <v>10620</v>
      </c>
    </row>
    <row r="247">
      <c r="A247" t="inlineStr">
        <is>
          <t>Panadol 250 MG</t>
        </is>
      </c>
      <c r="B247" t="inlineStr">
        <is>
          <t>Alexandria 1</t>
        </is>
      </c>
      <c r="C247" s="22" t="n">
        <v>45444</v>
      </c>
      <c r="D247" t="inlineStr">
        <is>
          <t>Ahmed Hassan</t>
        </is>
      </c>
      <c r="E247" t="n">
        <v>45</v>
      </c>
      <c r="F247" t="n">
        <v>2127</v>
      </c>
      <c r="G247" t="n">
        <v>2064</v>
      </c>
      <c r="H247" s="23" t="n">
        <v>95715</v>
      </c>
      <c r="I247" s="23" t="n">
        <v>92880</v>
      </c>
      <c r="J247" t="inlineStr">
        <is>
          <t>Jun</t>
        </is>
      </c>
      <c r="K247" t="n">
        <v>6</v>
      </c>
      <c r="L247" t="inlineStr">
        <is>
          <t>Q2</t>
        </is>
      </c>
      <c r="M247" t="n">
        <v>2024</v>
      </c>
      <c r="N247" s="22" t="n">
        <v>45444</v>
      </c>
      <c r="O247" s="24" t="n">
        <v>1.030523255813953</v>
      </c>
      <c r="P247" s="23" t="n">
        <v>2835</v>
      </c>
    </row>
    <row r="248">
      <c r="A248" t="inlineStr">
        <is>
          <t>Panadol 250 MG</t>
        </is>
      </c>
      <c r="B248" t="inlineStr">
        <is>
          <t>Alexandria 1</t>
        </is>
      </c>
      <c r="C248" s="22" t="n">
        <v>45474</v>
      </c>
      <c r="D248" t="inlineStr">
        <is>
          <t>Ahmed Hassan</t>
        </is>
      </c>
      <c r="E248" t="n">
        <v>45</v>
      </c>
      <c r="F248" t="n">
        <v>3820</v>
      </c>
      <c r="G248" t="n">
        <v>3863</v>
      </c>
      <c r="H248" s="23" t="n">
        <v>171900</v>
      </c>
      <c r="I248" s="23" t="n">
        <v>173835</v>
      </c>
      <c r="J248" t="inlineStr">
        <is>
          <t>Jul</t>
        </is>
      </c>
      <c r="K248" t="n">
        <v>7</v>
      </c>
      <c r="L248" t="inlineStr">
        <is>
          <t>Q3</t>
        </is>
      </c>
      <c r="M248" t="n">
        <v>2024</v>
      </c>
      <c r="N248" s="22" t="n">
        <v>45474</v>
      </c>
      <c r="O248" s="24" t="n">
        <v>0.9888687548537406</v>
      </c>
      <c r="P248" s="23" t="n">
        <v>-1935</v>
      </c>
    </row>
    <row r="249">
      <c r="A249" t="inlineStr">
        <is>
          <t>Panadol 250 MG</t>
        </is>
      </c>
      <c r="B249" t="inlineStr">
        <is>
          <t>Alexandria 1</t>
        </is>
      </c>
      <c r="C249" s="22" t="n">
        <v>45505</v>
      </c>
      <c r="D249" t="inlineStr">
        <is>
          <t>Ahmed Hassan</t>
        </is>
      </c>
      <c r="E249" t="n">
        <v>45</v>
      </c>
      <c r="F249" t="n">
        <v>2683</v>
      </c>
      <c r="G249" t="n">
        <v>2766</v>
      </c>
      <c r="H249" s="23" t="n">
        <v>120735</v>
      </c>
      <c r="I249" s="23" t="n">
        <v>124470</v>
      </c>
      <c r="J249" t="inlineStr">
        <is>
          <t>Aug</t>
        </is>
      </c>
      <c r="K249" t="n">
        <v>8</v>
      </c>
      <c r="L249" t="inlineStr">
        <is>
          <t>Q3</t>
        </is>
      </c>
      <c r="M249" t="n">
        <v>2024</v>
      </c>
      <c r="N249" s="22" t="n">
        <v>45505</v>
      </c>
      <c r="O249" s="24" t="n">
        <v>0.9699927693420102</v>
      </c>
      <c r="P249" s="23" t="n">
        <v>-3735</v>
      </c>
    </row>
    <row r="250">
      <c r="A250" t="inlineStr">
        <is>
          <t>Panadol 250 MG</t>
        </is>
      </c>
      <c r="B250" t="inlineStr">
        <is>
          <t>Alexandria 1</t>
        </is>
      </c>
      <c r="C250" s="22" t="n">
        <v>45536</v>
      </c>
      <c r="D250" t="inlineStr">
        <is>
          <t>Ahmed Hassan</t>
        </is>
      </c>
      <c r="E250" t="n">
        <v>45</v>
      </c>
      <c r="F250" t="n">
        <v>3480</v>
      </c>
      <c r="G250" t="n">
        <v>3678</v>
      </c>
      <c r="H250" s="23" t="n">
        <v>156600</v>
      </c>
      <c r="I250" s="23" t="n">
        <v>165510</v>
      </c>
      <c r="J250" t="inlineStr">
        <is>
          <t>Sep</t>
        </is>
      </c>
      <c r="K250" t="n">
        <v>9</v>
      </c>
      <c r="L250" t="inlineStr">
        <is>
          <t>Q3</t>
        </is>
      </c>
      <c r="M250" t="n">
        <v>2024</v>
      </c>
      <c r="N250" s="22" t="n">
        <v>45536</v>
      </c>
      <c r="O250" s="24" t="n">
        <v>0.9461663947797716</v>
      </c>
      <c r="P250" s="23" t="n">
        <v>-8910</v>
      </c>
    </row>
    <row r="251">
      <c r="A251" t="inlineStr">
        <is>
          <t>Panadol 250 MG</t>
        </is>
      </c>
      <c r="B251" t="inlineStr">
        <is>
          <t>Alexandria 1</t>
        </is>
      </c>
      <c r="C251" s="22" t="n">
        <v>45566</v>
      </c>
      <c r="D251" t="inlineStr">
        <is>
          <t>Ahmed Hassan</t>
        </is>
      </c>
      <c r="E251" t="n">
        <v>45</v>
      </c>
      <c r="F251" t="n">
        <v>3356</v>
      </c>
      <c r="G251" t="n">
        <v>3354</v>
      </c>
      <c r="H251" s="23" t="n">
        <v>151020</v>
      </c>
      <c r="I251" s="23" t="n">
        <v>150930</v>
      </c>
      <c r="J251" t="inlineStr">
        <is>
          <t>Oct</t>
        </is>
      </c>
      <c r="K251" t="n">
        <v>10</v>
      </c>
      <c r="L251" t="inlineStr">
        <is>
          <t>Q4</t>
        </is>
      </c>
      <c r="M251" t="n">
        <v>2024</v>
      </c>
      <c r="N251" s="22" t="n">
        <v>45566</v>
      </c>
      <c r="O251" s="24" t="n">
        <v>1.000596302921884</v>
      </c>
      <c r="P251" s="23" t="n">
        <v>90</v>
      </c>
    </row>
    <row r="252">
      <c r="A252" t="inlineStr">
        <is>
          <t>Panadol 250 MG</t>
        </is>
      </c>
      <c r="B252" t="inlineStr">
        <is>
          <t>Alexandria 1</t>
        </is>
      </c>
      <c r="C252" s="22" t="n">
        <v>45597</v>
      </c>
      <c r="D252" t="inlineStr">
        <is>
          <t>Ahmed Hassan</t>
        </is>
      </c>
      <c r="E252" t="n">
        <v>45</v>
      </c>
      <c r="F252" t="n">
        <v>3879</v>
      </c>
      <c r="G252" t="n">
        <v>3842</v>
      </c>
      <c r="H252" s="23" t="n">
        <v>174555</v>
      </c>
      <c r="I252" s="23" t="n">
        <v>172890</v>
      </c>
      <c r="J252" t="inlineStr">
        <is>
          <t>Nov</t>
        </is>
      </c>
      <c r="K252" t="n">
        <v>11</v>
      </c>
      <c r="L252" t="inlineStr">
        <is>
          <t>Q4</t>
        </is>
      </c>
      <c r="M252" t="n">
        <v>2024</v>
      </c>
      <c r="N252" s="22" t="n">
        <v>45597</v>
      </c>
      <c r="O252" s="24" t="n">
        <v>1.0096304008329</v>
      </c>
      <c r="P252" s="23" t="n">
        <v>1665</v>
      </c>
    </row>
    <row r="253">
      <c r="A253" t="inlineStr">
        <is>
          <t>Panadol 250 MG</t>
        </is>
      </c>
      <c r="B253" t="inlineStr">
        <is>
          <t>Alexandria 1</t>
        </is>
      </c>
      <c r="C253" s="22" t="n">
        <v>45627</v>
      </c>
      <c r="D253" t="inlineStr">
        <is>
          <t>Ahmed Hassan</t>
        </is>
      </c>
      <c r="E253" t="n">
        <v>45</v>
      </c>
      <c r="F253" t="n">
        <v>2882</v>
      </c>
      <c r="G253" t="n">
        <v>2951</v>
      </c>
      <c r="H253" s="23" t="n">
        <v>129690</v>
      </c>
      <c r="I253" s="23" t="n">
        <v>132795</v>
      </c>
      <c r="J253" t="inlineStr">
        <is>
          <t>Dec</t>
        </is>
      </c>
      <c r="K253" t="n">
        <v>12</v>
      </c>
      <c r="L253" t="inlineStr">
        <is>
          <t>Q4</t>
        </is>
      </c>
      <c r="M253" t="n">
        <v>2024</v>
      </c>
      <c r="N253" s="22" t="n">
        <v>45627</v>
      </c>
      <c r="O253" s="24" t="n">
        <v>0.9766180955608268</v>
      </c>
      <c r="P253" s="23" t="n">
        <v>-3105</v>
      </c>
    </row>
    <row r="254">
      <c r="A254" t="inlineStr">
        <is>
          <t>Panadol 250 MG</t>
        </is>
      </c>
      <c r="B254" t="inlineStr">
        <is>
          <t>Alexandria 2</t>
        </is>
      </c>
      <c r="C254" s="22" t="n">
        <v>45292</v>
      </c>
      <c r="D254" t="inlineStr">
        <is>
          <t>Amira Mostafa</t>
        </is>
      </c>
      <c r="E254" t="n">
        <v>45</v>
      </c>
      <c r="F254" t="n">
        <v>3728</v>
      </c>
      <c r="G254" t="n">
        <v>3646</v>
      </c>
      <c r="H254" s="23" t="n">
        <v>167760</v>
      </c>
      <c r="I254" s="23" t="n">
        <v>164070</v>
      </c>
      <c r="J254" t="inlineStr">
        <is>
          <t>Jan</t>
        </is>
      </c>
      <c r="K254" t="n">
        <v>1</v>
      </c>
      <c r="L254" t="inlineStr">
        <is>
          <t>Q1</t>
        </is>
      </c>
      <c r="M254" t="n">
        <v>2024</v>
      </c>
      <c r="N254" s="22" t="n">
        <v>45292</v>
      </c>
      <c r="O254" s="24" t="n">
        <v>1.022490400438837</v>
      </c>
      <c r="P254" s="23" t="n">
        <v>3690</v>
      </c>
    </row>
    <row r="255">
      <c r="A255" t="inlineStr">
        <is>
          <t>Panadol 250 MG</t>
        </is>
      </c>
      <c r="B255" t="inlineStr">
        <is>
          <t>Alexandria 2</t>
        </is>
      </c>
      <c r="C255" s="22" t="n">
        <v>45323</v>
      </c>
      <c r="D255" t="inlineStr">
        <is>
          <t>Amira Mostafa</t>
        </is>
      </c>
      <c r="E255" t="n">
        <v>45</v>
      </c>
      <c r="F255" t="n">
        <v>2959</v>
      </c>
      <c r="G255" t="n">
        <v>3141</v>
      </c>
      <c r="H255" s="23" t="n">
        <v>133155</v>
      </c>
      <c r="I255" s="23" t="n">
        <v>141345</v>
      </c>
      <c r="J255" t="inlineStr">
        <is>
          <t>Feb</t>
        </is>
      </c>
      <c r="K255" t="n">
        <v>2</v>
      </c>
      <c r="L255" t="inlineStr">
        <is>
          <t>Q1</t>
        </is>
      </c>
      <c r="M255" t="n">
        <v>2024</v>
      </c>
      <c r="N255" s="22" t="n">
        <v>45323</v>
      </c>
      <c r="O255" s="24" t="n">
        <v>0.9420566698503662</v>
      </c>
      <c r="P255" s="23" t="n">
        <v>-8190</v>
      </c>
    </row>
    <row r="256">
      <c r="A256" t="inlineStr">
        <is>
          <t>Panadol 250 MG</t>
        </is>
      </c>
      <c r="B256" t="inlineStr">
        <is>
          <t>Alexandria 2</t>
        </is>
      </c>
      <c r="C256" s="22" t="n">
        <v>45352</v>
      </c>
      <c r="D256" t="inlineStr">
        <is>
          <t>Amira Mostafa</t>
        </is>
      </c>
      <c r="E256" t="n">
        <v>45</v>
      </c>
      <c r="F256" t="n">
        <v>3514</v>
      </c>
      <c r="G256" t="n">
        <v>3315</v>
      </c>
      <c r="H256" s="23" t="n">
        <v>158130</v>
      </c>
      <c r="I256" s="23" t="n">
        <v>149175</v>
      </c>
      <c r="J256" t="inlineStr">
        <is>
          <t>Mar</t>
        </is>
      </c>
      <c r="K256" t="n">
        <v>3</v>
      </c>
      <c r="L256" t="inlineStr">
        <is>
          <t>Q1</t>
        </is>
      </c>
      <c r="M256" t="n">
        <v>2024</v>
      </c>
      <c r="N256" s="22" t="n">
        <v>45352</v>
      </c>
      <c r="O256" s="24" t="n">
        <v>1.060030165912519</v>
      </c>
      <c r="P256" s="23" t="n">
        <v>8955</v>
      </c>
    </row>
    <row r="257">
      <c r="A257" t="inlineStr">
        <is>
          <t>Panadol 250 MG</t>
        </is>
      </c>
      <c r="B257" t="inlineStr">
        <is>
          <t>Alexandria 2</t>
        </is>
      </c>
      <c r="C257" s="22" t="n">
        <v>45383</v>
      </c>
      <c r="D257" t="inlineStr">
        <is>
          <t>Amira Mostafa</t>
        </is>
      </c>
      <c r="E257" t="n">
        <v>45</v>
      </c>
      <c r="F257" t="n">
        <v>2577</v>
      </c>
      <c r="G257" t="n">
        <v>2992</v>
      </c>
      <c r="H257" s="23" t="n">
        <v>115965</v>
      </c>
      <c r="I257" s="23" t="n">
        <v>134640</v>
      </c>
      <c r="J257" t="inlineStr">
        <is>
          <t>Apr</t>
        </is>
      </c>
      <c r="K257" t="n">
        <v>4</v>
      </c>
      <c r="L257" t="inlineStr">
        <is>
          <t>Q2</t>
        </is>
      </c>
      <c r="M257" t="n">
        <v>2024</v>
      </c>
      <c r="N257" s="22" t="n">
        <v>45383</v>
      </c>
      <c r="O257" s="24" t="n">
        <v>0.8612967914438503</v>
      </c>
      <c r="P257" s="23" t="n">
        <v>-18675</v>
      </c>
    </row>
    <row r="258">
      <c r="A258" t="inlineStr">
        <is>
          <t>Panadol 250 MG</t>
        </is>
      </c>
      <c r="B258" t="inlineStr">
        <is>
          <t>Alexandria 2</t>
        </is>
      </c>
      <c r="C258" s="22" t="n">
        <v>45413</v>
      </c>
      <c r="D258" t="inlineStr">
        <is>
          <t>Amira Mostafa</t>
        </is>
      </c>
      <c r="E258" t="n">
        <v>45</v>
      </c>
      <c r="F258" t="n">
        <v>2925</v>
      </c>
      <c r="G258" t="n">
        <v>3319</v>
      </c>
      <c r="H258" s="23" t="n">
        <v>131625</v>
      </c>
      <c r="I258" s="23" t="n">
        <v>149355</v>
      </c>
      <c r="J258" t="inlineStr">
        <is>
          <t>May</t>
        </is>
      </c>
      <c r="K258" t="n">
        <v>5</v>
      </c>
      <c r="L258" t="inlineStr">
        <is>
          <t>Q2</t>
        </is>
      </c>
      <c r="M258" t="n">
        <v>2024</v>
      </c>
      <c r="N258" s="22" t="n">
        <v>45413</v>
      </c>
      <c r="O258" s="24" t="n">
        <v>0.8812895450436878</v>
      </c>
      <c r="P258" s="23" t="n">
        <v>-17730</v>
      </c>
    </row>
    <row r="259">
      <c r="A259" t="inlineStr">
        <is>
          <t>Panadol 250 MG</t>
        </is>
      </c>
      <c r="B259" t="inlineStr">
        <is>
          <t>Alexandria 2</t>
        </is>
      </c>
      <c r="C259" s="22" t="n">
        <v>45444</v>
      </c>
      <c r="D259" t="inlineStr">
        <is>
          <t>Amira Mostafa</t>
        </is>
      </c>
      <c r="E259" t="n">
        <v>45</v>
      </c>
      <c r="F259" t="n">
        <v>3406</v>
      </c>
      <c r="G259" t="n">
        <v>3332</v>
      </c>
      <c r="H259" s="23" t="n">
        <v>153270</v>
      </c>
      <c r="I259" s="23" t="n">
        <v>149940</v>
      </c>
      <c r="J259" t="inlineStr">
        <is>
          <t>Jun</t>
        </is>
      </c>
      <c r="K259" t="n">
        <v>6</v>
      </c>
      <c r="L259" t="inlineStr">
        <is>
          <t>Q2</t>
        </is>
      </c>
      <c r="M259" t="n">
        <v>2024</v>
      </c>
      <c r="N259" s="22" t="n">
        <v>45444</v>
      </c>
      <c r="O259" s="24" t="n">
        <v>1.022208883553421</v>
      </c>
      <c r="P259" s="23" t="n">
        <v>3330</v>
      </c>
    </row>
    <row r="260">
      <c r="A260" t="inlineStr">
        <is>
          <t>Panadol 250 MG</t>
        </is>
      </c>
      <c r="B260" t="inlineStr">
        <is>
          <t>Alexandria 2</t>
        </is>
      </c>
      <c r="C260" s="22" t="n">
        <v>45474</v>
      </c>
      <c r="D260" t="inlineStr">
        <is>
          <t>Amira Mostafa</t>
        </is>
      </c>
      <c r="E260" t="n">
        <v>45</v>
      </c>
      <c r="F260" t="n">
        <v>3032</v>
      </c>
      <c r="G260" t="n">
        <v>2875</v>
      </c>
      <c r="H260" s="23" t="n">
        <v>136440</v>
      </c>
      <c r="I260" s="23" t="n">
        <v>129375</v>
      </c>
      <c r="J260" t="inlineStr">
        <is>
          <t>Jul</t>
        </is>
      </c>
      <c r="K260" t="n">
        <v>7</v>
      </c>
      <c r="L260" t="inlineStr">
        <is>
          <t>Q3</t>
        </is>
      </c>
      <c r="M260" t="n">
        <v>2024</v>
      </c>
      <c r="N260" s="22" t="n">
        <v>45474</v>
      </c>
      <c r="O260" s="24" t="n">
        <v>1.054608695652174</v>
      </c>
      <c r="P260" s="23" t="n">
        <v>7065</v>
      </c>
    </row>
    <row r="261">
      <c r="A261" t="inlineStr">
        <is>
          <t>Panadol 250 MG</t>
        </is>
      </c>
      <c r="B261" t="inlineStr">
        <is>
          <t>Alexandria 2</t>
        </is>
      </c>
      <c r="C261" s="22" t="n">
        <v>45505</v>
      </c>
      <c r="D261" t="inlineStr">
        <is>
          <t>Amira Mostafa</t>
        </is>
      </c>
      <c r="E261" t="n">
        <v>45</v>
      </c>
      <c r="F261" t="n">
        <v>3667</v>
      </c>
      <c r="G261" t="n">
        <v>3384</v>
      </c>
      <c r="H261" s="23" t="n">
        <v>165015</v>
      </c>
      <c r="I261" s="23" t="n">
        <v>152280</v>
      </c>
      <c r="J261" t="inlineStr">
        <is>
          <t>Aug</t>
        </is>
      </c>
      <c r="K261" t="n">
        <v>8</v>
      </c>
      <c r="L261" t="inlineStr">
        <is>
          <t>Q3</t>
        </is>
      </c>
      <c r="M261" t="n">
        <v>2024</v>
      </c>
      <c r="N261" s="22" t="n">
        <v>45505</v>
      </c>
      <c r="O261" s="24" t="n">
        <v>1.083628841607565</v>
      </c>
      <c r="P261" s="23" t="n">
        <v>12735</v>
      </c>
    </row>
    <row r="262">
      <c r="A262" t="inlineStr">
        <is>
          <t>Panadol 250 MG</t>
        </is>
      </c>
      <c r="B262" t="inlineStr">
        <is>
          <t>Alexandria 2</t>
        </is>
      </c>
      <c r="C262" s="22" t="n">
        <v>45536</v>
      </c>
      <c r="D262" t="inlineStr">
        <is>
          <t>Amira Mostafa</t>
        </is>
      </c>
      <c r="E262" t="n">
        <v>45</v>
      </c>
      <c r="F262" t="n">
        <v>2595</v>
      </c>
      <c r="G262" t="n">
        <v>2428</v>
      </c>
      <c r="H262" s="23" t="n">
        <v>116775</v>
      </c>
      <c r="I262" s="23" t="n">
        <v>109260</v>
      </c>
      <c r="J262" t="inlineStr">
        <is>
          <t>Sep</t>
        </is>
      </c>
      <c r="K262" t="n">
        <v>9</v>
      </c>
      <c r="L262" t="inlineStr">
        <is>
          <t>Q3</t>
        </is>
      </c>
      <c r="M262" t="n">
        <v>2024</v>
      </c>
      <c r="N262" s="22" t="n">
        <v>45536</v>
      </c>
      <c r="O262" s="24" t="n">
        <v>1.068780889621087</v>
      </c>
      <c r="P262" s="23" t="n">
        <v>7515</v>
      </c>
    </row>
    <row r="263">
      <c r="A263" t="inlineStr">
        <is>
          <t>Panadol 250 MG</t>
        </is>
      </c>
      <c r="B263" t="inlineStr">
        <is>
          <t>Alexandria 2</t>
        </is>
      </c>
      <c r="C263" s="22" t="n">
        <v>45566</v>
      </c>
      <c r="D263" t="inlineStr">
        <is>
          <t>Amira Mostafa</t>
        </is>
      </c>
      <c r="E263" t="n">
        <v>45</v>
      </c>
      <c r="F263" t="n">
        <v>1976</v>
      </c>
      <c r="G263" t="n">
        <v>2054</v>
      </c>
      <c r="H263" s="23" t="n">
        <v>88920</v>
      </c>
      <c r="I263" s="23" t="n">
        <v>92430</v>
      </c>
      <c r="J263" t="inlineStr">
        <is>
          <t>Oct</t>
        </is>
      </c>
      <c r="K263" t="n">
        <v>10</v>
      </c>
      <c r="L263" t="inlineStr">
        <is>
          <t>Q4</t>
        </is>
      </c>
      <c r="M263" t="n">
        <v>2024</v>
      </c>
      <c r="N263" s="22" t="n">
        <v>45566</v>
      </c>
      <c r="O263" s="24" t="n">
        <v>0.9620253164556962</v>
      </c>
      <c r="P263" s="23" t="n">
        <v>-3510</v>
      </c>
    </row>
    <row r="264">
      <c r="A264" t="inlineStr">
        <is>
          <t>Panadol 250 MG</t>
        </is>
      </c>
      <c r="B264" t="inlineStr">
        <is>
          <t>Alexandria 2</t>
        </is>
      </c>
      <c r="C264" s="22" t="n">
        <v>45597</v>
      </c>
      <c r="D264" t="inlineStr">
        <is>
          <t>Amira Mostafa</t>
        </is>
      </c>
      <c r="E264" t="n">
        <v>45</v>
      </c>
      <c r="F264" t="n">
        <v>2951</v>
      </c>
      <c r="G264" t="n">
        <v>2760</v>
      </c>
      <c r="H264" s="23" t="n">
        <v>132795</v>
      </c>
      <c r="I264" s="23" t="n">
        <v>124200</v>
      </c>
      <c r="J264" t="inlineStr">
        <is>
          <t>Nov</t>
        </is>
      </c>
      <c r="K264" t="n">
        <v>11</v>
      </c>
      <c r="L264" t="inlineStr">
        <is>
          <t>Q4</t>
        </is>
      </c>
      <c r="M264" t="n">
        <v>2024</v>
      </c>
      <c r="N264" s="22" t="n">
        <v>45597</v>
      </c>
      <c r="O264" s="24" t="n">
        <v>1.069202898550725</v>
      </c>
      <c r="P264" s="23" t="n">
        <v>8595</v>
      </c>
    </row>
    <row r="265">
      <c r="A265" t="inlineStr">
        <is>
          <t>Panadol 250 MG</t>
        </is>
      </c>
      <c r="B265" t="inlineStr">
        <is>
          <t>Alexandria 2</t>
        </is>
      </c>
      <c r="C265" s="22" t="n">
        <v>45627</v>
      </c>
      <c r="D265" t="inlineStr">
        <is>
          <t>Amira Mostafa</t>
        </is>
      </c>
      <c r="E265" t="n">
        <v>45</v>
      </c>
      <c r="F265" t="n">
        <v>2514</v>
      </c>
      <c r="G265" t="n">
        <v>2734</v>
      </c>
      <c r="H265" s="23" t="n">
        <v>113130</v>
      </c>
      <c r="I265" s="23" t="n">
        <v>123030</v>
      </c>
      <c r="J265" t="inlineStr">
        <is>
          <t>Dec</t>
        </is>
      </c>
      <c r="K265" t="n">
        <v>12</v>
      </c>
      <c r="L265" t="inlineStr">
        <is>
          <t>Q4</t>
        </is>
      </c>
      <c r="M265" t="n">
        <v>2024</v>
      </c>
      <c r="N265" s="22" t="n">
        <v>45627</v>
      </c>
      <c r="O265" s="24" t="n">
        <v>0.9195318215069496</v>
      </c>
      <c r="P265" s="23" t="n">
        <v>-9900</v>
      </c>
    </row>
    <row r="266">
      <c r="A266" t="inlineStr">
        <is>
          <t>Panadol 250 MG</t>
        </is>
      </c>
      <c r="B266" t="inlineStr">
        <is>
          <t>Cairo 1</t>
        </is>
      </c>
      <c r="C266" s="22" t="n">
        <v>45292</v>
      </c>
      <c r="D266" t="inlineStr">
        <is>
          <t>Fatma Ali</t>
        </is>
      </c>
      <c r="E266" t="n">
        <v>45</v>
      </c>
      <c r="F266" t="n">
        <v>3066</v>
      </c>
      <c r="G266" t="n">
        <v>3004</v>
      </c>
      <c r="H266" s="23" t="n">
        <v>137970</v>
      </c>
      <c r="I266" s="23" t="n">
        <v>135180</v>
      </c>
      <c r="J266" t="inlineStr">
        <is>
          <t>Jan</t>
        </is>
      </c>
      <c r="K266" t="n">
        <v>1</v>
      </c>
      <c r="L266" t="inlineStr">
        <is>
          <t>Q1</t>
        </is>
      </c>
      <c r="M266" t="n">
        <v>2024</v>
      </c>
      <c r="N266" s="22" t="n">
        <v>45292</v>
      </c>
      <c r="O266" s="24" t="n">
        <v>1.02063914780293</v>
      </c>
      <c r="P266" s="23" t="n">
        <v>2790</v>
      </c>
    </row>
    <row r="267">
      <c r="A267" t="inlineStr">
        <is>
          <t>Panadol 250 MG</t>
        </is>
      </c>
      <c r="B267" t="inlineStr">
        <is>
          <t>Cairo 1</t>
        </is>
      </c>
      <c r="C267" s="22" t="n">
        <v>45323</v>
      </c>
      <c r="D267" t="inlineStr">
        <is>
          <t>Fatma Ali</t>
        </is>
      </c>
      <c r="E267" t="n">
        <v>45</v>
      </c>
      <c r="F267" t="n">
        <v>2291</v>
      </c>
      <c r="G267" t="n">
        <v>2372</v>
      </c>
      <c r="H267" s="23" t="n">
        <v>103095</v>
      </c>
      <c r="I267" s="23" t="n">
        <v>106740</v>
      </c>
      <c r="J267" t="inlineStr">
        <is>
          <t>Feb</t>
        </is>
      </c>
      <c r="K267" t="n">
        <v>2</v>
      </c>
      <c r="L267" t="inlineStr">
        <is>
          <t>Q1</t>
        </is>
      </c>
      <c r="M267" t="n">
        <v>2024</v>
      </c>
      <c r="N267" s="22" t="n">
        <v>45323</v>
      </c>
      <c r="O267" s="24" t="n">
        <v>0.9658516020236088</v>
      </c>
      <c r="P267" s="23" t="n">
        <v>-3645</v>
      </c>
    </row>
    <row r="268">
      <c r="A268" t="inlineStr">
        <is>
          <t>Panadol 250 MG</t>
        </is>
      </c>
      <c r="B268" t="inlineStr">
        <is>
          <t>Cairo 1</t>
        </is>
      </c>
      <c r="C268" s="22" t="n">
        <v>45352</v>
      </c>
      <c r="D268" t="inlineStr">
        <is>
          <t>Fatma Ali</t>
        </is>
      </c>
      <c r="E268" t="n">
        <v>45</v>
      </c>
      <c r="F268" t="n">
        <v>3149</v>
      </c>
      <c r="G268" t="n">
        <v>3609</v>
      </c>
      <c r="H268" s="23" t="n">
        <v>141705</v>
      </c>
      <c r="I268" s="23" t="n">
        <v>162405</v>
      </c>
      <c r="J268" t="inlineStr">
        <is>
          <t>Mar</t>
        </is>
      </c>
      <c r="K268" t="n">
        <v>3</v>
      </c>
      <c r="L268" t="inlineStr">
        <is>
          <t>Q1</t>
        </is>
      </c>
      <c r="M268" t="n">
        <v>2024</v>
      </c>
      <c r="N268" s="22" t="n">
        <v>45352</v>
      </c>
      <c r="O268" s="24" t="n">
        <v>0.8725408700471045</v>
      </c>
      <c r="P268" s="23" t="n">
        <v>-20700</v>
      </c>
    </row>
    <row r="269">
      <c r="A269" t="inlineStr">
        <is>
          <t>Panadol 250 MG</t>
        </is>
      </c>
      <c r="B269" t="inlineStr">
        <is>
          <t>Cairo 1</t>
        </is>
      </c>
      <c r="C269" s="22" t="n">
        <v>45383</v>
      </c>
      <c r="D269" t="inlineStr">
        <is>
          <t>Fatma Ali</t>
        </is>
      </c>
      <c r="E269" t="n">
        <v>45</v>
      </c>
      <c r="F269" t="n">
        <v>2084</v>
      </c>
      <c r="G269" t="n">
        <v>2140</v>
      </c>
      <c r="H269" s="23" t="n">
        <v>93780</v>
      </c>
      <c r="I269" s="23" t="n">
        <v>96300</v>
      </c>
      <c r="J269" t="inlineStr">
        <is>
          <t>Apr</t>
        </is>
      </c>
      <c r="K269" t="n">
        <v>4</v>
      </c>
      <c r="L269" t="inlineStr">
        <is>
          <t>Q2</t>
        </is>
      </c>
      <c r="M269" t="n">
        <v>2024</v>
      </c>
      <c r="N269" s="22" t="n">
        <v>45383</v>
      </c>
      <c r="O269" s="24" t="n">
        <v>0.9738317757009346</v>
      </c>
      <c r="P269" s="23" t="n">
        <v>-2520</v>
      </c>
    </row>
    <row r="270">
      <c r="A270" t="inlineStr">
        <is>
          <t>Panadol 250 MG</t>
        </is>
      </c>
      <c r="B270" t="inlineStr">
        <is>
          <t>Cairo 1</t>
        </is>
      </c>
      <c r="C270" s="22" t="n">
        <v>45413</v>
      </c>
      <c r="D270" t="inlineStr">
        <is>
          <t>Fatma Ali</t>
        </is>
      </c>
      <c r="E270" t="n">
        <v>45</v>
      </c>
      <c r="F270" t="n">
        <v>1840</v>
      </c>
      <c r="G270" t="n">
        <v>2049</v>
      </c>
      <c r="H270" s="23" t="n">
        <v>82800</v>
      </c>
      <c r="I270" s="23" t="n">
        <v>92205</v>
      </c>
      <c r="J270" t="inlineStr">
        <is>
          <t>May</t>
        </is>
      </c>
      <c r="K270" t="n">
        <v>5</v>
      </c>
      <c r="L270" t="inlineStr">
        <is>
          <t>Q2</t>
        </is>
      </c>
      <c r="M270" t="n">
        <v>2024</v>
      </c>
      <c r="N270" s="22" t="n">
        <v>45413</v>
      </c>
      <c r="O270" s="24" t="n">
        <v>0.8979990239141045</v>
      </c>
      <c r="P270" s="23" t="n">
        <v>-9405</v>
      </c>
    </row>
    <row r="271">
      <c r="A271" t="inlineStr">
        <is>
          <t>Panadol 250 MG</t>
        </is>
      </c>
      <c r="B271" t="inlineStr">
        <is>
          <t>Cairo 1</t>
        </is>
      </c>
      <c r="C271" s="22" t="n">
        <v>45444</v>
      </c>
      <c r="D271" t="inlineStr">
        <is>
          <t>Fatma Ali</t>
        </is>
      </c>
      <c r="E271" t="n">
        <v>45</v>
      </c>
      <c r="F271" t="n">
        <v>3524</v>
      </c>
      <c r="G271" t="n">
        <v>3455</v>
      </c>
      <c r="H271" s="23" t="n">
        <v>158580</v>
      </c>
      <c r="I271" s="23" t="n">
        <v>155475</v>
      </c>
      <c r="J271" t="inlineStr">
        <is>
          <t>Jun</t>
        </is>
      </c>
      <c r="K271" t="n">
        <v>6</v>
      </c>
      <c r="L271" t="inlineStr">
        <is>
          <t>Q2</t>
        </is>
      </c>
      <c r="M271" t="n">
        <v>2024</v>
      </c>
      <c r="N271" s="22" t="n">
        <v>45444</v>
      </c>
      <c r="O271" s="24" t="n">
        <v>1.019971056439942</v>
      </c>
      <c r="P271" s="23" t="n">
        <v>3105</v>
      </c>
    </row>
    <row r="272">
      <c r="A272" t="inlineStr">
        <is>
          <t>Panadol 250 MG</t>
        </is>
      </c>
      <c r="B272" t="inlineStr">
        <is>
          <t>Cairo 1</t>
        </is>
      </c>
      <c r="C272" s="22" t="n">
        <v>45474</v>
      </c>
      <c r="D272" t="inlineStr">
        <is>
          <t>Fatma Ali</t>
        </is>
      </c>
      <c r="E272" t="n">
        <v>45</v>
      </c>
      <c r="F272" t="n">
        <v>2618</v>
      </c>
      <c r="G272" t="n">
        <v>2636</v>
      </c>
      <c r="H272" s="23" t="n">
        <v>117810</v>
      </c>
      <c r="I272" s="23" t="n">
        <v>118620</v>
      </c>
      <c r="J272" t="inlineStr">
        <is>
          <t>Jul</t>
        </is>
      </c>
      <c r="K272" t="n">
        <v>7</v>
      </c>
      <c r="L272" t="inlineStr">
        <is>
          <t>Q3</t>
        </is>
      </c>
      <c r="M272" t="n">
        <v>2024</v>
      </c>
      <c r="N272" s="22" t="n">
        <v>45474</v>
      </c>
      <c r="O272" s="24" t="n">
        <v>0.9931714719271624</v>
      </c>
      <c r="P272" s="23" t="n">
        <v>-810</v>
      </c>
    </row>
    <row r="273">
      <c r="A273" t="inlineStr">
        <is>
          <t>Panadol 250 MG</t>
        </is>
      </c>
      <c r="B273" t="inlineStr">
        <is>
          <t>Cairo 1</t>
        </is>
      </c>
      <c r="C273" s="22" t="n">
        <v>45505</v>
      </c>
      <c r="D273" t="inlineStr">
        <is>
          <t>Fatma Ali</t>
        </is>
      </c>
      <c r="E273" t="n">
        <v>45</v>
      </c>
      <c r="F273" t="n">
        <v>2554</v>
      </c>
      <c r="G273" t="n">
        <v>2647</v>
      </c>
      <c r="H273" s="23" t="n">
        <v>114930</v>
      </c>
      <c r="I273" s="23" t="n">
        <v>119115</v>
      </c>
      <c r="J273" t="inlineStr">
        <is>
          <t>Aug</t>
        </is>
      </c>
      <c r="K273" t="n">
        <v>8</v>
      </c>
      <c r="L273" t="inlineStr">
        <is>
          <t>Q3</t>
        </is>
      </c>
      <c r="M273" t="n">
        <v>2024</v>
      </c>
      <c r="N273" s="22" t="n">
        <v>45505</v>
      </c>
      <c r="O273" s="24" t="n">
        <v>0.9648658859085757</v>
      </c>
      <c r="P273" s="23" t="n">
        <v>-4185</v>
      </c>
    </row>
    <row r="274">
      <c r="A274" t="inlineStr">
        <is>
          <t>Panadol 250 MG</t>
        </is>
      </c>
      <c r="B274" t="inlineStr">
        <is>
          <t>Cairo 1</t>
        </is>
      </c>
      <c r="C274" s="22" t="n">
        <v>45536</v>
      </c>
      <c r="D274" t="inlineStr">
        <is>
          <t>Fatma Ali</t>
        </is>
      </c>
      <c r="E274" t="n">
        <v>45</v>
      </c>
      <c r="F274" t="n">
        <v>1786</v>
      </c>
      <c r="G274" t="n">
        <v>2057</v>
      </c>
      <c r="H274" s="23" t="n">
        <v>80370</v>
      </c>
      <c r="I274" s="23" t="n">
        <v>92565</v>
      </c>
      <c r="J274" t="inlineStr">
        <is>
          <t>Sep</t>
        </is>
      </c>
      <c r="K274" t="n">
        <v>9</v>
      </c>
      <c r="L274" t="inlineStr">
        <is>
          <t>Q3</t>
        </is>
      </c>
      <c r="M274" t="n">
        <v>2024</v>
      </c>
      <c r="N274" s="22" t="n">
        <v>45536</v>
      </c>
      <c r="O274" s="24" t="n">
        <v>0.8682547399124939</v>
      </c>
      <c r="P274" s="23" t="n">
        <v>-12195</v>
      </c>
    </row>
    <row r="275">
      <c r="A275" t="inlineStr">
        <is>
          <t>Panadol 250 MG</t>
        </is>
      </c>
      <c r="B275" t="inlineStr">
        <is>
          <t>Cairo 1</t>
        </is>
      </c>
      <c r="C275" s="22" t="n">
        <v>45566</v>
      </c>
      <c r="D275" t="inlineStr">
        <is>
          <t>Fatma Ali</t>
        </is>
      </c>
      <c r="E275" t="n">
        <v>45</v>
      </c>
      <c r="F275" t="n">
        <v>3125</v>
      </c>
      <c r="G275" t="n">
        <v>3016</v>
      </c>
      <c r="H275" s="23" t="n">
        <v>140625</v>
      </c>
      <c r="I275" s="23" t="n">
        <v>135720</v>
      </c>
      <c r="J275" t="inlineStr">
        <is>
          <t>Oct</t>
        </is>
      </c>
      <c r="K275" t="n">
        <v>10</v>
      </c>
      <c r="L275" t="inlineStr">
        <is>
          <t>Q4</t>
        </is>
      </c>
      <c r="M275" t="n">
        <v>2024</v>
      </c>
      <c r="N275" s="22" t="n">
        <v>45566</v>
      </c>
      <c r="O275" s="24" t="n">
        <v>1.036140583554377</v>
      </c>
      <c r="P275" s="23" t="n">
        <v>4905</v>
      </c>
    </row>
    <row r="276">
      <c r="A276" t="inlineStr">
        <is>
          <t>Panadol 250 MG</t>
        </is>
      </c>
      <c r="B276" t="inlineStr">
        <is>
          <t>Cairo 1</t>
        </is>
      </c>
      <c r="C276" s="22" t="n">
        <v>45597</v>
      </c>
      <c r="D276" t="inlineStr">
        <is>
          <t>Fatma Ali</t>
        </is>
      </c>
      <c r="E276" t="n">
        <v>45</v>
      </c>
      <c r="F276" t="n">
        <v>3500</v>
      </c>
      <c r="G276" t="n">
        <v>3895</v>
      </c>
      <c r="H276" s="23" t="n">
        <v>157500</v>
      </c>
      <c r="I276" s="23" t="n">
        <v>175275</v>
      </c>
      <c r="J276" t="inlineStr">
        <is>
          <t>Nov</t>
        </is>
      </c>
      <c r="K276" t="n">
        <v>11</v>
      </c>
      <c r="L276" t="inlineStr">
        <is>
          <t>Q4</t>
        </is>
      </c>
      <c r="M276" t="n">
        <v>2024</v>
      </c>
      <c r="N276" s="22" t="n">
        <v>45597</v>
      </c>
      <c r="O276" s="24" t="n">
        <v>0.8985879332477535</v>
      </c>
      <c r="P276" s="23" t="n">
        <v>-17775</v>
      </c>
    </row>
    <row r="277">
      <c r="A277" t="inlineStr">
        <is>
          <t>Panadol 250 MG</t>
        </is>
      </c>
      <c r="B277" t="inlineStr">
        <is>
          <t>Cairo 1</t>
        </is>
      </c>
      <c r="C277" s="22" t="n">
        <v>45627</v>
      </c>
      <c r="D277" t="inlineStr">
        <is>
          <t>Fatma Ali</t>
        </is>
      </c>
      <c r="E277" t="n">
        <v>45</v>
      </c>
      <c r="F277" t="n">
        <v>3294</v>
      </c>
      <c r="G277" t="n">
        <v>3686</v>
      </c>
      <c r="H277" s="23" t="n">
        <v>148230</v>
      </c>
      <c r="I277" s="23" t="n">
        <v>165870</v>
      </c>
      <c r="J277" t="inlineStr">
        <is>
          <t>Dec</t>
        </is>
      </c>
      <c r="K277" t="n">
        <v>12</v>
      </c>
      <c r="L277" t="inlineStr">
        <is>
          <t>Q4</t>
        </is>
      </c>
      <c r="M277" t="n">
        <v>2024</v>
      </c>
      <c r="N277" s="22" t="n">
        <v>45627</v>
      </c>
      <c r="O277" s="24" t="n">
        <v>0.893651654910472</v>
      </c>
      <c r="P277" s="23" t="n">
        <v>-17640</v>
      </c>
    </row>
    <row r="278">
      <c r="A278" t="inlineStr">
        <is>
          <t>Panadol 250 MG</t>
        </is>
      </c>
      <c r="B278" t="inlineStr">
        <is>
          <t>Cairo 2</t>
        </is>
      </c>
      <c r="C278" s="22" t="n">
        <v>45292</v>
      </c>
      <c r="D278" t="inlineStr">
        <is>
          <t>Hassan El-Shamy</t>
        </is>
      </c>
      <c r="E278" t="n">
        <v>45</v>
      </c>
      <c r="F278" t="n">
        <v>3517</v>
      </c>
      <c r="G278" t="n">
        <v>3842</v>
      </c>
      <c r="H278" s="23" t="n">
        <v>158265</v>
      </c>
      <c r="I278" s="23" t="n">
        <v>172890</v>
      </c>
      <c r="J278" t="inlineStr">
        <is>
          <t>Jan</t>
        </is>
      </c>
      <c r="K278" t="n">
        <v>1</v>
      </c>
      <c r="L278" t="inlineStr">
        <is>
          <t>Q1</t>
        </is>
      </c>
      <c r="M278" t="n">
        <v>2024</v>
      </c>
      <c r="N278" s="22" t="n">
        <v>45292</v>
      </c>
      <c r="O278" s="24" t="n">
        <v>0.9154086413326392</v>
      </c>
      <c r="P278" s="23" t="n">
        <v>-14625</v>
      </c>
    </row>
    <row r="279">
      <c r="A279" t="inlineStr">
        <is>
          <t>Panadol 250 MG</t>
        </is>
      </c>
      <c r="B279" t="inlineStr">
        <is>
          <t>Cairo 2</t>
        </is>
      </c>
      <c r="C279" s="22" t="n">
        <v>45323</v>
      </c>
      <c r="D279" t="inlineStr">
        <is>
          <t>Hassan El-Shamy</t>
        </is>
      </c>
      <c r="E279" t="n">
        <v>45</v>
      </c>
      <c r="F279" t="n">
        <v>3125</v>
      </c>
      <c r="G279" t="n">
        <v>3110</v>
      </c>
      <c r="H279" s="23" t="n">
        <v>140625</v>
      </c>
      <c r="I279" s="23" t="n">
        <v>139950</v>
      </c>
      <c r="J279" t="inlineStr">
        <is>
          <t>Feb</t>
        </is>
      </c>
      <c r="K279" t="n">
        <v>2</v>
      </c>
      <c r="L279" t="inlineStr">
        <is>
          <t>Q1</t>
        </is>
      </c>
      <c r="M279" t="n">
        <v>2024</v>
      </c>
      <c r="N279" s="22" t="n">
        <v>45323</v>
      </c>
      <c r="O279" s="24" t="n">
        <v>1.004823151125402</v>
      </c>
      <c r="P279" s="23" t="n">
        <v>675</v>
      </c>
    </row>
    <row r="280">
      <c r="A280" t="inlineStr">
        <is>
          <t>Panadol 250 MG</t>
        </is>
      </c>
      <c r="B280" t="inlineStr">
        <is>
          <t>Cairo 2</t>
        </is>
      </c>
      <c r="C280" s="22" t="n">
        <v>45352</v>
      </c>
      <c r="D280" t="inlineStr">
        <is>
          <t>Hassan El-Shamy</t>
        </is>
      </c>
      <c r="E280" t="n">
        <v>45</v>
      </c>
      <c r="F280" t="n">
        <v>3548</v>
      </c>
      <c r="G280" t="n">
        <v>3455</v>
      </c>
      <c r="H280" s="23" t="n">
        <v>159660</v>
      </c>
      <c r="I280" s="23" t="n">
        <v>155475</v>
      </c>
      <c r="J280" t="inlineStr">
        <is>
          <t>Mar</t>
        </is>
      </c>
      <c r="K280" t="n">
        <v>3</v>
      </c>
      <c r="L280" t="inlineStr">
        <is>
          <t>Q1</t>
        </is>
      </c>
      <c r="M280" t="n">
        <v>2024</v>
      </c>
      <c r="N280" s="22" t="n">
        <v>45352</v>
      </c>
      <c r="O280" s="24" t="n">
        <v>1.026917510853835</v>
      </c>
      <c r="P280" s="23" t="n">
        <v>4185</v>
      </c>
    </row>
    <row r="281">
      <c r="A281" t="inlineStr">
        <is>
          <t>Panadol 250 MG</t>
        </is>
      </c>
      <c r="B281" t="inlineStr">
        <is>
          <t>Cairo 2</t>
        </is>
      </c>
      <c r="C281" s="22" t="n">
        <v>45383</v>
      </c>
      <c r="D281" t="inlineStr">
        <is>
          <t>Hassan El-Shamy</t>
        </is>
      </c>
      <c r="E281" t="n">
        <v>45</v>
      </c>
      <c r="F281" t="n">
        <v>3648</v>
      </c>
      <c r="G281" t="n">
        <v>3386</v>
      </c>
      <c r="H281" s="23" t="n">
        <v>164160</v>
      </c>
      <c r="I281" s="23" t="n">
        <v>152370</v>
      </c>
      <c r="J281" t="inlineStr">
        <is>
          <t>Apr</t>
        </is>
      </c>
      <c r="K281" t="n">
        <v>4</v>
      </c>
      <c r="L281" t="inlineStr">
        <is>
          <t>Q2</t>
        </is>
      </c>
      <c r="M281" t="n">
        <v>2024</v>
      </c>
      <c r="N281" s="22" t="n">
        <v>45383</v>
      </c>
      <c r="O281" s="24" t="n">
        <v>1.077377436503249</v>
      </c>
      <c r="P281" s="23" t="n">
        <v>11790</v>
      </c>
    </row>
    <row r="282">
      <c r="A282" t="inlineStr">
        <is>
          <t>Panadol 250 MG</t>
        </is>
      </c>
      <c r="B282" t="inlineStr">
        <is>
          <t>Cairo 2</t>
        </is>
      </c>
      <c r="C282" s="22" t="n">
        <v>45413</v>
      </c>
      <c r="D282" t="inlineStr">
        <is>
          <t>Hassan El-Shamy</t>
        </is>
      </c>
      <c r="E282" t="n">
        <v>45</v>
      </c>
      <c r="F282" t="n">
        <v>2228</v>
      </c>
      <c r="G282" t="n">
        <v>2126</v>
      </c>
      <c r="H282" s="23" t="n">
        <v>100260</v>
      </c>
      <c r="I282" s="23" t="n">
        <v>95670</v>
      </c>
      <c r="J282" t="inlineStr">
        <is>
          <t>May</t>
        </is>
      </c>
      <c r="K282" t="n">
        <v>5</v>
      </c>
      <c r="L282" t="inlineStr">
        <is>
          <t>Q2</t>
        </is>
      </c>
      <c r="M282" t="n">
        <v>2024</v>
      </c>
      <c r="N282" s="22" t="n">
        <v>45413</v>
      </c>
      <c r="O282" s="24" t="n">
        <v>1.047977422389464</v>
      </c>
      <c r="P282" s="23" t="n">
        <v>4590</v>
      </c>
    </row>
    <row r="283">
      <c r="A283" t="inlineStr">
        <is>
          <t>Panadol 250 MG</t>
        </is>
      </c>
      <c r="B283" t="inlineStr">
        <is>
          <t>Cairo 2</t>
        </is>
      </c>
      <c r="C283" s="22" t="n">
        <v>45444</v>
      </c>
      <c r="D283" t="inlineStr">
        <is>
          <t>Hassan El-Shamy</t>
        </is>
      </c>
      <c r="E283" t="n">
        <v>45</v>
      </c>
      <c r="F283" t="n">
        <v>2152</v>
      </c>
      <c r="G283" t="n">
        <v>2173</v>
      </c>
      <c r="H283" s="23" t="n">
        <v>96840</v>
      </c>
      <c r="I283" s="23" t="n">
        <v>97785</v>
      </c>
      <c r="J283" t="inlineStr">
        <is>
          <t>Jun</t>
        </is>
      </c>
      <c r="K283" t="n">
        <v>6</v>
      </c>
      <c r="L283" t="inlineStr">
        <is>
          <t>Q2</t>
        </is>
      </c>
      <c r="M283" t="n">
        <v>2024</v>
      </c>
      <c r="N283" s="22" t="n">
        <v>45444</v>
      </c>
      <c r="O283" s="24" t="n">
        <v>0.99033594109526</v>
      </c>
      <c r="P283" s="23" t="n">
        <v>-945</v>
      </c>
    </row>
    <row r="284">
      <c r="A284" t="inlineStr">
        <is>
          <t>Panadol 250 MG</t>
        </is>
      </c>
      <c r="B284" t="inlineStr">
        <is>
          <t>Cairo 2</t>
        </is>
      </c>
      <c r="C284" s="22" t="n">
        <v>45474</v>
      </c>
      <c r="D284" t="inlineStr">
        <is>
          <t>Hassan El-Shamy</t>
        </is>
      </c>
      <c r="E284" t="n">
        <v>45</v>
      </c>
      <c r="F284" t="n">
        <v>3501</v>
      </c>
      <c r="G284" t="n">
        <v>3760</v>
      </c>
      <c r="H284" s="23" t="n">
        <v>157545</v>
      </c>
      <c r="I284" s="23" t="n">
        <v>169200</v>
      </c>
      <c r="J284" t="inlineStr">
        <is>
          <t>Jul</t>
        </is>
      </c>
      <c r="K284" t="n">
        <v>7</v>
      </c>
      <c r="L284" t="inlineStr">
        <is>
          <t>Q3</t>
        </is>
      </c>
      <c r="M284" t="n">
        <v>2024</v>
      </c>
      <c r="N284" s="22" t="n">
        <v>45474</v>
      </c>
      <c r="O284" s="24" t="n">
        <v>0.9311170212765958</v>
      </c>
      <c r="P284" s="23" t="n">
        <v>-11655</v>
      </c>
    </row>
    <row r="285">
      <c r="A285" t="inlineStr">
        <is>
          <t>Panadol 250 MG</t>
        </is>
      </c>
      <c r="B285" t="inlineStr">
        <is>
          <t>Cairo 2</t>
        </is>
      </c>
      <c r="C285" s="22" t="n">
        <v>45505</v>
      </c>
      <c r="D285" t="inlineStr">
        <is>
          <t>Hassan El-Shamy</t>
        </is>
      </c>
      <c r="E285" t="n">
        <v>45</v>
      </c>
      <c r="F285" t="n">
        <v>2649</v>
      </c>
      <c r="G285" t="n">
        <v>2770</v>
      </c>
      <c r="H285" s="23" t="n">
        <v>119205</v>
      </c>
      <c r="I285" s="23" t="n">
        <v>124650</v>
      </c>
      <c r="J285" t="inlineStr">
        <is>
          <t>Aug</t>
        </is>
      </c>
      <c r="K285" t="n">
        <v>8</v>
      </c>
      <c r="L285" t="inlineStr">
        <is>
          <t>Q3</t>
        </is>
      </c>
      <c r="M285" t="n">
        <v>2024</v>
      </c>
      <c r="N285" s="22" t="n">
        <v>45505</v>
      </c>
      <c r="O285" s="24" t="n">
        <v>0.956317689530686</v>
      </c>
      <c r="P285" s="23" t="n">
        <v>-5445</v>
      </c>
    </row>
    <row r="286">
      <c r="A286" t="inlineStr">
        <is>
          <t>Panadol 250 MG</t>
        </is>
      </c>
      <c r="B286" t="inlineStr">
        <is>
          <t>Cairo 2</t>
        </is>
      </c>
      <c r="C286" s="22" t="n">
        <v>45536</v>
      </c>
      <c r="D286" t="inlineStr">
        <is>
          <t>Hassan El-Shamy</t>
        </is>
      </c>
      <c r="E286" t="n">
        <v>45</v>
      </c>
      <c r="F286" t="n">
        <v>2685</v>
      </c>
      <c r="G286" t="n">
        <v>2573</v>
      </c>
      <c r="H286" s="23" t="n">
        <v>120825</v>
      </c>
      <c r="I286" s="23" t="n">
        <v>115785</v>
      </c>
      <c r="J286" t="inlineStr">
        <is>
          <t>Sep</t>
        </is>
      </c>
      <c r="K286" t="n">
        <v>9</v>
      </c>
      <c r="L286" t="inlineStr">
        <is>
          <t>Q3</t>
        </is>
      </c>
      <c r="M286" t="n">
        <v>2024</v>
      </c>
      <c r="N286" s="22" t="n">
        <v>45536</v>
      </c>
      <c r="O286" s="24" t="n">
        <v>1.043528954527789</v>
      </c>
      <c r="P286" s="23" t="n">
        <v>5040</v>
      </c>
    </row>
    <row r="287">
      <c r="A287" t="inlineStr">
        <is>
          <t>Panadol 250 MG</t>
        </is>
      </c>
      <c r="B287" t="inlineStr">
        <is>
          <t>Cairo 2</t>
        </is>
      </c>
      <c r="C287" s="22" t="n">
        <v>45566</v>
      </c>
      <c r="D287" t="inlineStr">
        <is>
          <t>Hassan El-Shamy</t>
        </is>
      </c>
      <c r="E287" t="n">
        <v>45</v>
      </c>
      <c r="F287" t="n">
        <v>3676</v>
      </c>
      <c r="G287" t="n">
        <v>3823</v>
      </c>
      <c r="H287" s="23" t="n">
        <v>165420</v>
      </c>
      <c r="I287" s="23" t="n">
        <v>172035</v>
      </c>
      <c r="J287" t="inlineStr">
        <is>
          <t>Oct</t>
        </is>
      </c>
      <c r="K287" t="n">
        <v>10</v>
      </c>
      <c r="L287" t="inlineStr">
        <is>
          <t>Q4</t>
        </is>
      </c>
      <c r="M287" t="n">
        <v>2024</v>
      </c>
      <c r="N287" s="22" t="n">
        <v>45566</v>
      </c>
      <c r="O287" s="24" t="n">
        <v>0.9615485221030604</v>
      </c>
      <c r="P287" s="23" t="n">
        <v>-6615</v>
      </c>
    </row>
    <row r="288">
      <c r="A288" t="inlineStr">
        <is>
          <t>Panadol 250 MG</t>
        </is>
      </c>
      <c r="B288" t="inlineStr">
        <is>
          <t>Cairo 2</t>
        </is>
      </c>
      <c r="C288" s="22" t="n">
        <v>45597</v>
      </c>
      <c r="D288" t="inlineStr">
        <is>
          <t>Hassan El-Shamy</t>
        </is>
      </c>
      <c r="E288" t="n">
        <v>45</v>
      </c>
      <c r="F288" t="n">
        <v>2779</v>
      </c>
      <c r="G288" t="n">
        <v>3219</v>
      </c>
      <c r="H288" s="23" t="n">
        <v>125055</v>
      </c>
      <c r="I288" s="23" t="n">
        <v>144855</v>
      </c>
      <c r="J288" t="inlineStr">
        <is>
          <t>Nov</t>
        </is>
      </c>
      <c r="K288" t="n">
        <v>11</v>
      </c>
      <c r="L288" t="inlineStr">
        <is>
          <t>Q4</t>
        </is>
      </c>
      <c r="M288" t="n">
        <v>2024</v>
      </c>
      <c r="N288" s="22" t="n">
        <v>45597</v>
      </c>
      <c r="O288" s="24" t="n">
        <v>0.8633115874495185</v>
      </c>
      <c r="P288" s="23" t="n">
        <v>-19800</v>
      </c>
    </row>
    <row r="289">
      <c r="A289" t="inlineStr">
        <is>
          <t>Panadol 250 MG</t>
        </is>
      </c>
      <c r="B289" t="inlineStr">
        <is>
          <t>Cairo 2</t>
        </is>
      </c>
      <c r="C289" s="22" t="n">
        <v>45627</v>
      </c>
      <c r="D289" t="inlineStr">
        <is>
          <t>Hassan El-Shamy</t>
        </is>
      </c>
      <c r="E289" t="n">
        <v>45</v>
      </c>
      <c r="F289" t="n">
        <v>2986</v>
      </c>
      <c r="G289" t="n">
        <v>2929</v>
      </c>
      <c r="H289" s="23" t="n">
        <v>134370</v>
      </c>
      <c r="I289" s="23" t="n">
        <v>131805</v>
      </c>
      <c r="J289" t="inlineStr">
        <is>
          <t>Dec</t>
        </is>
      </c>
      <c r="K289" t="n">
        <v>12</v>
      </c>
      <c r="L289" t="inlineStr">
        <is>
          <t>Q4</t>
        </is>
      </c>
      <c r="M289" t="n">
        <v>2024</v>
      </c>
      <c r="N289" s="22" t="n">
        <v>45627</v>
      </c>
      <c r="O289" s="24" t="n">
        <v>1.01946056674633</v>
      </c>
      <c r="P289" s="23" t="n">
        <v>2565</v>
      </c>
    </row>
    <row r="290">
      <c r="A290" t="inlineStr">
        <is>
          <t>Panadol 250 MG</t>
        </is>
      </c>
      <c r="B290" t="inlineStr">
        <is>
          <t>Suez</t>
        </is>
      </c>
      <c r="C290" s="22" t="n">
        <v>45292</v>
      </c>
      <c r="D290" t="inlineStr">
        <is>
          <t>Mohamed Mahmoud</t>
        </is>
      </c>
      <c r="E290" t="n">
        <v>45</v>
      </c>
      <c r="F290" t="n">
        <v>2853</v>
      </c>
      <c r="G290" t="n">
        <v>3048</v>
      </c>
      <c r="H290" s="23" t="n">
        <v>128385</v>
      </c>
      <c r="I290" s="23" t="n">
        <v>137160</v>
      </c>
      <c r="J290" t="inlineStr">
        <is>
          <t>Jan</t>
        </is>
      </c>
      <c r="K290" t="n">
        <v>1</v>
      </c>
      <c r="L290" t="inlineStr">
        <is>
          <t>Q1</t>
        </is>
      </c>
      <c r="M290" t="n">
        <v>2024</v>
      </c>
      <c r="N290" s="22" t="n">
        <v>45292</v>
      </c>
      <c r="O290" s="24" t="n">
        <v>0.9360236220472441</v>
      </c>
      <c r="P290" s="23" t="n">
        <v>-8775</v>
      </c>
    </row>
    <row r="291">
      <c r="A291" t="inlineStr">
        <is>
          <t>Panadol 250 MG</t>
        </is>
      </c>
      <c r="B291" t="inlineStr">
        <is>
          <t>Suez</t>
        </is>
      </c>
      <c r="C291" s="22" t="n">
        <v>45323</v>
      </c>
      <c r="D291" t="inlineStr">
        <is>
          <t>Mohamed Mahmoud</t>
        </is>
      </c>
      <c r="E291" t="n">
        <v>45</v>
      </c>
      <c r="F291" t="n">
        <v>3578</v>
      </c>
      <c r="G291" t="n">
        <v>3125</v>
      </c>
      <c r="H291" s="23" t="n">
        <v>161010</v>
      </c>
      <c r="I291" s="23" t="n">
        <v>140625</v>
      </c>
      <c r="J291" t="inlineStr">
        <is>
          <t>Feb</t>
        </is>
      </c>
      <c r="K291" t="n">
        <v>2</v>
      </c>
      <c r="L291" t="inlineStr">
        <is>
          <t>Q1</t>
        </is>
      </c>
      <c r="M291" t="n">
        <v>2024</v>
      </c>
      <c r="N291" s="22" t="n">
        <v>45323</v>
      </c>
      <c r="O291" s="24" t="n">
        <v>1.14496</v>
      </c>
      <c r="P291" s="23" t="n">
        <v>20385</v>
      </c>
    </row>
    <row r="292">
      <c r="A292" t="inlineStr">
        <is>
          <t>Panadol 250 MG</t>
        </is>
      </c>
      <c r="B292" t="inlineStr">
        <is>
          <t>Suez</t>
        </is>
      </c>
      <c r="C292" s="22" t="n">
        <v>45352</v>
      </c>
      <c r="D292" t="inlineStr">
        <is>
          <t>Mohamed Mahmoud</t>
        </is>
      </c>
      <c r="E292" t="n">
        <v>45</v>
      </c>
      <c r="F292" t="n">
        <v>2752</v>
      </c>
      <c r="G292" t="n">
        <v>3220</v>
      </c>
      <c r="H292" s="23" t="n">
        <v>123840</v>
      </c>
      <c r="I292" s="23" t="n">
        <v>144900</v>
      </c>
      <c r="J292" t="inlineStr">
        <is>
          <t>Mar</t>
        </is>
      </c>
      <c r="K292" t="n">
        <v>3</v>
      </c>
      <c r="L292" t="inlineStr">
        <is>
          <t>Q1</t>
        </is>
      </c>
      <c r="M292" t="n">
        <v>2024</v>
      </c>
      <c r="N292" s="22" t="n">
        <v>45352</v>
      </c>
      <c r="O292" s="24" t="n">
        <v>0.8546583850931677</v>
      </c>
      <c r="P292" s="23" t="n">
        <v>-21060</v>
      </c>
    </row>
    <row r="293">
      <c r="A293" t="inlineStr">
        <is>
          <t>Panadol 250 MG</t>
        </is>
      </c>
      <c r="B293" t="inlineStr">
        <is>
          <t>Suez</t>
        </is>
      </c>
      <c r="C293" s="22" t="n">
        <v>45383</v>
      </c>
      <c r="D293" t="inlineStr">
        <is>
          <t>Mohamed Mahmoud</t>
        </is>
      </c>
      <c r="E293" t="n">
        <v>45</v>
      </c>
      <c r="F293" t="n">
        <v>3486</v>
      </c>
      <c r="G293" t="n">
        <v>3461</v>
      </c>
      <c r="H293" s="23" t="n">
        <v>156870</v>
      </c>
      <c r="I293" s="23" t="n">
        <v>155745</v>
      </c>
      <c r="J293" t="inlineStr">
        <is>
          <t>Apr</t>
        </is>
      </c>
      <c r="K293" t="n">
        <v>4</v>
      </c>
      <c r="L293" t="inlineStr">
        <is>
          <t>Q2</t>
        </is>
      </c>
      <c r="M293" t="n">
        <v>2024</v>
      </c>
      <c r="N293" s="22" t="n">
        <v>45383</v>
      </c>
      <c r="O293" s="24" t="n">
        <v>1.0072233458538</v>
      </c>
      <c r="P293" s="23" t="n">
        <v>1125</v>
      </c>
    </row>
    <row r="294">
      <c r="A294" t="inlineStr">
        <is>
          <t>Panadol 250 MG</t>
        </is>
      </c>
      <c r="B294" t="inlineStr">
        <is>
          <t>Suez</t>
        </is>
      </c>
      <c r="C294" s="22" t="n">
        <v>45413</v>
      </c>
      <c r="D294" t="inlineStr">
        <is>
          <t>Mohamed Mahmoud</t>
        </is>
      </c>
      <c r="E294" t="n">
        <v>45</v>
      </c>
      <c r="F294" t="n">
        <v>3500</v>
      </c>
      <c r="G294" t="n">
        <v>3856</v>
      </c>
      <c r="H294" s="23" t="n">
        <v>157500</v>
      </c>
      <c r="I294" s="23" t="n">
        <v>173520</v>
      </c>
      <c r="J294" t="inlineStr">
        <is>
          <t>May</t>
        </is>
      </c>
      <c r="K294" t="n">
        <v>5</v>
      </c>
      <c r="L294" t="inlineStr">
        <is>
          <t>Q2</t>
        </is>
      </c>
      <c r="M294" t="n">
        <v>2024</v>
      </c>
      <c r="N294" s="22" t="n">
        <v>45413</v>
      </c>
      <c r="O294" s="24" t="n">
        <v>0.9076763485477178</v>
      </c>
      <c r="P294" s="23" t="n">
        <v>-16020</v>
      </c>
    </row>
    <row r="295">
      <c r="A295" t="inlineStr">
        <is>
          <t>Panadol 250 MG</t>
        </is>
      </c>
      <c r="B295" t="inlineStr">
        <is>
          <t>Suez</t>
        </is>
      </c>
      <c r="C295" s="22" t="n">
        <v>45444</v>
      </c>
      <c r="D295" t="inlineStr">
        <is>
          <t>Mohamed Mahmoud</t>
        </is>
      </c>
      <c r="E295" t="n">
        <v>45</v>
      </c>
      <c r="F295" t="n">
        <v>2562</v>
      </c>
      <c r="G295" t="n">
        <v>2848</v>
      </c>
      <c r="H295" s="23" t="n">
        <v>115290</v>
      </c>
      <c r="I295" s="23" t="n">
        <v>128160</v>
      </c>
      <c r="J295" t="inlineStr">
        <is>
          <t>Jun</t>
        </is>
      </c>
      <c r="K295" t="n">
        <v>6</v>
      </c>
      <c r="L295" t="inlineStr">
        <is>
          <t>Q2</t>
        </is>
      </c>
      <c r="M295" t="n">
        <v>2024</v>
      </c>
      <c r="N295" s="22" t="n">
        <v>45444</v>
      </c>
      <c r="O295" s="24" t="n">
        <v>0.8995786516853933</v>
      </c>
      <c r="P295" s="23" t="n">
        <v>-12870</v>
      </c>
    </row>
    <row r="296">
      <c r="A296" t="inlineStr">
        <is>
          <t>Panadol 250 MG</t>
        </is>
      </c>
      <c r="B296" t="inlineStr">
        <is>
          <t>Suez</t>
        </is>
      </c>
      <c r="C296" s="22" t="n">
        <v>45474</v>
      </c>
      <c r="D296" t="inlineStr">
        <is>
          <t>Mohamed Mahmoud</t>
        </is>
      </c>
      <c r="E296" t="n">
        <v>45</v>
      </c>
      <c r="F296" t="n">
        <v>3835</v>
      </c>
      <c r="G296" t="n">
        <v>3732</v>
      </c>
      <c r="H296" s="23" t="n">
        <v>172575</v>
      </c>
      <c r="I296" s="23" t="n">
        <v>167940</v>
      </c>
      <c r="J296" t="inlineStr">
        <is>
          <t>Jul</t>
        </is>
      </c>
      <c r="K296" t="n">
        <v>7</v>
      </c>
      <c r="L296" t="inlineStr">
        <is>
          <t>Q3</t>
        </is>
      </c>
      <c r="M296" t="n">
        <v>2024</v>
      </c>
      <c r="N296" s="22" t="n">
        <v>45474</v>
      </c>
      <c r="O296" s="24" t="n">
        <v>1.027599142550911</v>
      </c>
      <c r="P296" s="23" t="n">
        <v>4635</v>
      </c>
    </row>
    <row r="297">
      <c r="A297" t="inlineStr">
        <is>
          <t>Panadol 250 MG</t>
        </is>
      </c>
      <c r="B297" t="inlineStr">
        <is>
          <t>Suez</t>
        </is>
      </c>
      <c r="C297" s="22" t="n">
        <v>45505</v>
      </c>
      <c r="D297" t="inlineStr">
        <is>
          <t>Mohamed Mahmoud</t>
        </is>
      </c>
      <c r="E297" t="n">
        <v>45</v>
      </c>
      <c r="F297" t="n">
        <v>3011</v>
      </c>
      <c r="G297" t="n">
        <v>3485</v>
      </c>
      <c r="H297" s="23" t="n">
        <v>135495</v>
      </c>
      <c r="I297" s="23" t="n">
        <v>156825</v>
      </c>
      <c r="J297" t="inlineStr">
        <is>
          <t>Aug</t>
        </is>
      </c>
      <c r="K297" t="n">
        <v>8</v>
      </c>
      <c r="L297" t="inlineStr">
        <is>
          <t>Q3</t>
        </is>
      </c>
      <c r="M297" t="n">
        <v>2024</v>
      </c>
      <c r="N297" s="22" t="n">
        <v>45505</v>
      </c>
      <c r="O297" s="24" t="n">
        <v>0.8639885222381636</v>
      </c>
      <c r="P297" s="23" t="n">
        <v>-21330</v>
      </c>
    </row>
    <row r="298">
      <c r="A298" t="inlineStr">
        <is>
          <t>Panadol 250 MG</t>
        </is>
      </c>
      <c r="B298" t="inlineStr">
        <is>
          <t>Suez</t>
        </is>
      </c>
      <c r="C298" s="22" t="n">
        <v>45536</v>
      </c>
      <c r="D298" t="inlineStr">
        <is>
          <t>Mohamed Mahmoud</t>
        </is>
      </c>
      <c r="E298" t="n">
        <v>45</v>
      </c>
      <c r="F298" t="n">
        <v>3418</v>
      </c>
      <c r="G298" t="n">
        <v>3895</v>
      </c>
      <c r="H298" s="23" t="n">
        <v>153810</v>
      </c>
      <c r="I298" s="23" t="n">
        <v>175275</v>
      </c>
      <c r="J298" t="inlineStr">
        <is>
          <t>Sep</t>
        </is>
      </c>
      <c r="K298" t="n">
        <v>9</v>
      </c>
      <c r="L298" t="inlineStr">
        <is>
          <t>Q3</t>
        </is>
      </c>
      <c r="M298" t="n">
        <v>2024</v>
      </c>
      <c r="N298" s="22" t="n">
        <v>45536</v>
      </c>
      <c r="O298" s="24" t="n">
        <v>0.8775353016688061</v>
      </c>
      <c r="P298" s="23" t="n">
        <v>-21465</v>
      </c>
    </row>
    <row r="299">
      <c r="A299" t="inlineStr">
        <is>
          <t>Panadol 250 MG</t>
        </is>
      </c>
      <c r="B299" t="inlineStr">
        <is>
          <t>Suez</t>
        </is>
      </c>
      <c r="C299" s="22" t="n">
        <v>45566</v>
      </c>
      <c r="D299" t="inlineStr">
        <is>
          <t>Mohamed Mahmoud</t>
        </is>
      </c>
      <c r="E299" t="n">
        <v>45</v>
      </c>
      <c r="F299" t="n">
        <v>2719</v>
      </c>
      <c r="G299" t="n">
        <v>2807</v>
      </c>
      <c r="H299" s="23" t="n">
        <v>122355</v>
      </c>
      <c r="I299" s="23" t="n">
        <v>126315</v>
      </c>
      <c r="J299" t="inlineStr">
        <is>
          <t>Oct</t>
        </is>
      </c>
      <c r="K299" t="n">
        <v>10</v>
      </c>
      <c r="L299" t="inlineStr">
        <is>
          <t>Q4</t>
        </is>
      </c>
      <c r="M299" t="n">
        <v>2024</v>
      </c>
      <c r="N299" s="22" t="n">
        <v>45566</v>
      </c>
      <c r="O299" s="24" t="n">
        <v>0.9686498040612754</v>
      </c>
      <c r="P299" s="23" t="n">
        <v>-3960</v>
      </c>
    </row>
    <row r="300">
      <c r="A300" t="inlineStr">
        <is>
          <t>Panadol 250 MG</t>
        </is>
      </c>
      <c r="B300" t="inlineStr">
        <is>
          <t>Suez</t>
        </is>
      </c>
      <c r="C300" s="22" t="n">
        <v>45597</v>
      </c>
      <c r="D300" t="inlineStr">
        <is>
          <t>Mohamed Mahmoud</t>
        </is>
      </c>
      <c r="E300" t="n">
        <v>45</v>
      </c>
      <c r="F300" t="n">
        <v>3514</v>
      </c>
      <c r="G300" t="n">
        <v>3580</v>
      </c>
      <c r="H300" s="23" t="n">
        <v>158130</v>
      </c>
      <c r="I300" s="23" t="n">
        <v>161100</v>
      </c>
      <c r="J300" t="inlineStr">
        <is>
          <t>Nov</t>
        </is>
      </c>
      <c r="K300" t="n">
        <v>11</v>
      </c>
      <c r="L300" t="inlineStr">
        <is>
          <t>Q4</t>
        </is>
      </c>
      <c r="M300" t="n">
        <v>2024</v>
      </c>
      <c r="N300" s="22" t="n">
        <v>45597</v>
      </c>
      <c r="O300" s="24" t="n">
        <v>0.9815642458100559</v>
      </c>
      <c r="P300" s="23" t="n">
        <v>-2970</v>
      </c>
    </row>
    <row r="301">
      <c r="A301" t="inlineStr">
        <is>
          <t>Panadol 250 MG</t>
        </is>
      </c>
      <c r="B301" t="inlineStr">
        <is>
          <t>Suez</t>
        </is>
      </c>
      <c r="C301" s="22" t="n">
        <v>45627</v>
      </c>
      <c r="D301" t="inlineStr">
        <is>
          <t>Mohamed Mahmoud</t>
        </is>
      </c>
      <c r="E301" t="n">
        <v>45</v>
      </c>
      <c r="F301" t="n">
        <v>3276</v>
      </c>
      <c r="G301" t="n">
        <v>3633</v>
      </c>
      <c r="H301" s="23" t="n">
        <v>147420</v>
      </c>
      <c r="I301" s="23" t="n">
        <v>163485</v>
      </c>
      <c r="J301" t="inlineStr">
        <is>
          <t>Dec</t>
        </is>
      </c>
      <c r="K301" t="n">
        <v>12</v>
      </c>
      <c r="L301" t="inlineStr">
        <is>
          <t>Q4</t>
        </is>
      </c>
      <c r="M301" t="n">
        <v>2024</v>
      </c>
      <c r="N301" s="22" t="n">
        <v>45627</v>
      </c>
      <c r="O301" s="24" t="n">
        <v>0.9017341040462428</v>
      </c>
      <c r="P301" s="23" t="n">
        <v>-16065</v>
      </c>
    </row>
    <row r="302">
      <c r="A302" t="inlineStr">
        <is>
          <t>Panadol 250 MG</t>
        </is>
      </c>
      <c r="B302" t="inlineStr">
        <is>
          <t>Dakahlia 1</t>
        </is>
      </c>
      <c r="C302" s="22" t="n">
        <v>45292</v>
      </c>
      <c r="D302" t="inlineStr">
        <is>
          <t>Nour El-Din</t>
        </is>
      </c>
      <c r="E302" t="n">
        <v>45</v>
      </c>
      <c r="F302" t="n">
        <v>3500</v>
      </c>
      <c r="G302" t="n">
        <v>2500</v>
      </c>
      <c r="H302" s="23" t="n">
        <v>157500</v>
      </c>
      <c r="I302" s="23" t="n">
        <v>112500</v>
      </c>
      <c r="J302" t="inlineStr">
        <is>
          <t>Jan</t>
        </is>
      </c>
      <c r="K302" t="n">
        <v>1</v>
      </c>
      <c r="L302" t="inlineStr">
        <is>
          <t>Q1</t>
        </is>
      </c>
      <c r="M302" t="n">
        <v>2024</v>
      </c>
      <c r="N302" s="22" t="n">
        <v>45292</v>
      </c>
      <c r="O302" s="24" t="n">
        <v>1.4</v>
      </c>
      <c r="P302" s="23" t="n">
        <v>45000</v>
      </c>
    </row>
    <row r="303">
      <c r="A303" t="inlineStr">
        <is>
          <t>Panadol 250 MG</t>
        </is>
      </c>
      <c r="B303" t="inlineStr">
        <is>
          <t>Dakahlia 1</t>
        </is>
      </c>
      <c r="C303" s="22" t="n">
        <v>45323</v>
      </c>
      <c r="D303" t="inlineStr">
        <is>
          <t>Nour El-Din</t>
        </is>
      </c>
      <c r="E303" t="n">
        <v>45</v>
      </c>
      <c r="F303" t="n">
        <v>2435</v>
      </c>
      <c r="G303" t="n">
        <v>3669</v>
      </c>
      <c r="H303" s="23" t="n">
        <v>109575</v>
      </c>
      <c r="I303" s="23" t="n">
        <v>165105</v>
      </c>
      <c r="J303" t="inlineStr">
        <is>
          <t>Feb</t>
        </is>
      </c>
      <c r="K303" t="n">
        <v>2</v>
      </c>
      <c r="L303" t="inlineStr">
        <is>
          <t>Q1</t>
        </is>
      </c>
      <c r="M303" t="n">
        <v>2024</v>
      </c>
      <c r="N303" s="22" t="n">
        <v>45323</v>
      </c>
      <c r="O303" s="24" t="n">
        <v>0.6636685745434724</v>
      </c>
      <c r="P303" s="23" t="n">
        <v>-55530</v>
      </c>
    </row>
    <row r="304">
      <c r="A304" t="inlineStr">
        <is>
          <t>Panadol 250 MG</t>
        </is>
      </c>
      <c r="B304" t="inlineStr">
        <is>
          <t>Dakahlia 1</t>
        </is>
      </c>
      <c r="C304" s="22" t="n">
        <v>45352</v>
      </c>
      <c r="D304" t="inlineStr">
        <is>
          <t>Nour El-Din</t>
        </is>
      </c>
      <c r="E304" t="n">
        <v>45</v>
      </c>
      <c r="F304" t="n">
        <v>3312</v>
      </c>
      <c r="G304" t="n">
        <v>3544</v>
      </c>
      <c r="H304" s="23" t="n">
        <v>149040</v>
      </c>
      <c r="I304" s="23" t="n">
        <v>159480</v>
      </c>
      <c r="J304" t="inlineStr">
        <is>
          <t>Mar</t>
        </is>
      </c>
      <c r="K304" t="n">
        <v>3</v>
      </c>
      <c r="L304" t="inlineStr">
        <is>
          <t>Q1</t>
        </is>
      </c>
      <c r="M304" t="n">
        <v>2024</v>
      </c>
      <c r="N304" s="22" t="n">
        <v>45352</v>
      </c>
      <c r="O304" s="24" t="n">
        <v>0.9345372460496614</v>
      </c>
      <c r="P304" s="23" t="n">
        <v>-10440</v>
      </c>
    </row>
    <row r="305">
      <c r="A305" t="inlineStr">
        <is>
          <t>Panadol 250 MG</t>
        </is>
      </c>
      <c r="B305" t="inlineStr">
        <is>
          <t>Dakahlia 1</t>
        </is>
      </c>
      <c r="C305" s="22" t="n">
        <v>45383</v>
      </c>
      <c r="D305" t="inlineStr">
        <is>
          <t>Nour El-Din</t>
        </is>
      </c>
      <c r="E305" t="n">
        <v>45</v>
      </c>
      <c r="F305" t="n">
        <v>3162</v>
      </c>
      <c r="G305" t="n">
        <v>3212</v>
      </c>
      <c r="H305" s="23" t="n">
        <v>142290</v>
      </c>
      <c r="I305" s="23" t="n">
        <v>144540</v>
      </c>
      <c r="J305" t="inlineStr">
        <is>
          <t>Apr</t>
        </is>
      </c>
      <c r="K305" t="n">
        <v>4</v>
      </c>
      <c r="L305" t="inlineStr">
        <is>
          <t>Q2</t>
        </is>
      </c>
      <c r="M305" t="n">
        <v>2024</v>
      </c>
      <c r="N305" s="22" t="n">
        <v>45383</v>
      </c>
      <c r="O305" s="24" t="n">
        <v>0.9844333748443338</v>
      </c>
      <c r="P305" s="23" t="n">
        <v>-2250</v>
      </c>
    </row>
    <row r="306">
      <c r="A306" t="inlineStr">
        <is>
          <t>Panadol 250 MG</t>
        </is>
      </c>
      <c r="B306" t="inlineStr">
        <is>
          <t>Dakahlia 1</t>
        </is>
      </c>
      <c r="C306" s="22" t="n">
        <v>45413</v>
      </c>
      <c r="D306" t="inlineStr">
        <is>
          <t>Nour El-Din</t>
        </is>
      </c>
      <c r="E306" t="n">
        <v>45</v>
      </c>
      <c r="F306" t="n">
        <v>2021</v>
      </c>
      <c r="G306" t="n">
        <v>2072</v>
      </c>
      <c r="H306" s="23" t="n">
        <v>90945</v>
      </c>
      <c r="I306" s="23" t="n">
        <v>93240</v>
      </c>
      <c r="J306" t="inlineStr">
        <is>
          <t>May</t>
        </is>
      </c>
      <c r="K306" t="n">
        <v>5</v>
      </c>
      <c r="L306" t="inlineStr">
        <is>
          <t>Q2</t>
        </is>
      </c>
      <c r="M306" t="n">
        <v>2024</v>
      </c>
      <c r="N306" s="22" t="n">
        <v>45413</v>
      </c>
      <c r="O306" s="24" t="n">
        <v>0.9753861003861004</v>
      </c>
      <c r="P306" s="23" t="n">
        <v>-2295</v>
      </c>
    </row>
    <row r="307">
      <c r="A307" t="inlineStr">
        <is>
          <t>Panadol 250 MG</t>
        </is>
      </c>
      <c r="B307" t="inlineStr">
        <is>
          <t>Dakahlia 1</t>
        </is>
      </c>
      <c r="C307" s="22" t="n">
        <v>45444</v>
      </c>
      <c r="D307" t="inlineStr">
        <is>
          <t>Nour El-Din</t>
        </is>
      </c>
      <c r="E307" t="n">
        <v>45</v>
      </c>
      <c r="F307" t="n">
        <v>2369</v>
      </c>
      <c r="G307" t="n">
        <v>2208</v>
      </c>
      <c r="H307" s="23" t="n">
        <v>106605</v>
      </c>
      <c r="I307" s="23" t="n">
        <v>99360</v>
      </c>
      <c r="J307" t="inlineStr">
        <is>
          <t>Jun</t>
        </is>
      </c>
      <c r="K307" t="n">
        <v>6</v>
      </c>
      <c r="L307" t="inlineStr">
        <is>
          <t>Q2</t>
        </is>
      </c>
      <c r="M307" t="n">
        <v>2024</v>
      </c>
      <c r="N307" s="22" t="n">
        <v>45444</v>
      </c>
      <c r="O307" s="24" t="n">
        <v>1.072916666666667</v>
      </c>
      <c r="P307" s="23" t="n">
        <v>7245</v>
      </c>
    </row>
    <row r="308">
      <c r="A308" t="inlineStr">
        <is>
          <t>Panadol 250 MG</t>
        </is>
      </c>
      <c r="B308" t="inlineStr">
        <is>
          <t>Dakahlia 1</t>
        </is>
      </c>
      <c r="C308" s="22" t="n">
        <v>45474</v>
      </c>
      <c r="D308" t="inlineStr">
        <is>
          <t>Nour El-Din</t>
        </is>
      </c>
      <c r="E308" t="n">
        <v>45</v>
      </c>
      <c r="F308" t="n">
        <v>2792</v>
      </c>
      <c r="G308" t="n">
        <v>2893</v>
      </c>
      <c r="H308" s="23" t="n">
        <v>125640</v>
      </c>
      <c r="I308" s="23" t="n">
        <v>130185</v>
      </c>
      <c r="J308" t="inlineStr">
        <is>
          <t>Jul</t>
        </is>
      </c>
      <c r="K308" t="n">
        <v>7</v>
      </c>
      <c r="L308" t="inlineStr">
        <is>
          <t>Q3</t>
        </is>
      </c>
      <c r="M308" t="n">
        <v>2024</v>
      </c>
      <c r="N308" s="22" t="n">
        <v>45474</v>
      </c>
      <c r="O308" s="24" t="n">
        <v>0.9650881437953681</v>
      </c>
      <c r="P308" s="23" t="n">
        <v>-4545</v>
      </c>
    </row>
    <row r="309">
      <c r="A309" t="inlineStr">
        <is>
          <t>Panadol 250 MG</t>
        </is>
      </c>
      <c r="B309" t="inlineStr">
        <is>
          <t>Dakahlia 1</t>
        </is>
      </c>
      <c r="C309" s="22" t="n">
        <v>45505</v>
      </c>
      <c r="D309" t="inlineStr">
        <is>
          <t>Nour El-Din</t>
        </is>
      </c>
      <c r="E309" t="n">
        <v>45</v>
      </c>
      <c r="F309" t="n">
        <v>3270</v>
      </c>
      <c r="G309" t="n">
        <v>3013</v>
      </c>
      <c r="H309" s="23" t="n">
        <v>147150</v>
      </c>
      <c r="I309" s="23" t="n">
        <v>135585</v>
      </c>
      <c r="J309" t="inlineStr">
        <is>
          <t>Aug</t>
        </is>
      </c>
      <c r="K309" t="n">
        <v>8</v>
      </c>
      <c r="L309" t="inlineStr">
        <is>
          <t>Q3</t>
        </is>
      </c>
      <c r="M309" t="n">
        <v>2024</v>
      </c>
      <c r="N309" s="22" t="n">
        <v>45505</v>
      </c>
      <c r="O309" s="24" t="n">
        <v>1.085297046133422</v>
      </c>
      <c r="P309" s="23" t="n">
        <v>11565</v>
      </c>
    </row>
    <row r="310">
      <c r="A310" t="inlineStr">
        <is>
          <t>Panadol 250 MG</t>
        </is>
      </c>
      <c r="B310" t="inlineStr">
        <is>
          <t>Dakahlia 1</t>
        </is>
      </c>
      <c r="C310" s="22" t="n">
        <v>45536</v>
      </c>
      <c r="D310" t="inlineStr">
        <is>
          <t>Nour El-Din</t>
        </is>
      </c>
      <c r="E310" t="n">
        <v>45</v>
      </c>
      <c r="F310" t="n">
        <v>2338</v>
      </c>
      <c r="G310" t="n">
        <v>2284</v>
      </c>
      <c r="H310" s="23" t="n">
        <v>105210</v>
      </c>
      <c r="I310" s="23" t="n">
        <v>102780</v>
      </c>
      <c r="J310" t="inlineStr">
        <is>
          <t>Sep</t>
        </is>
      </c>
      <c r="K310" t="n">
        <v>9</v>
      </c>
      <c r="L310" t="inlineStr">
        <is>
          <t>Q3</t>
        </is>
      </c>
      <c r="M310" t="n">
        <v>2024</v>
      </c>
      <c r="N310" s="22" t="n">
        <v>45536</v>
      </c>
      <c r="O310" s="24" t="n">
        <v>1.023642732049037</v>
      </c>
      <c r="P310" s="23" t="n">
        <v>2430</v>
      </c>
    </row>
    <row r="311">
      <c r="A311" t="inlineStr">
        <is>
          <t>Panadol 250 MG</t>
        </is>
      </c>
      <c r="B311" t="inlineStr">
        <is>
          <t>Dakahlia 1</t>
        </is>
      </c>
      <c r="C311" s="22" t="n">
        <v>45566</v>
      </c>
      <c r="D311" t="inlineStr">
        <is>
          <t>Nour El-Din</t>
        </is>
      </c>
      <c r="E311" t="n">
        <v>45</v>
      </c>
      <c r="F311" t="n">
        <v>3470</v>
      </c>
      <c r="G311" t="n">
        <v>3894</v>
      </c>
      <c r="H311" s="23" t="n">
        <v>156150</v>
      </c>
      <c r="I311" s="23" t="n">
        <v>175230</v>
      </c>
      <c r="J311" t="inlineStr">
        <is>
          <t>Oct</t>
        </is>
      </c>
      <c r="K311" t="n">
        <v>10</v>
      </c>
      <c r="L311" t="inlineStr">
        <is>
          <t>Q4</t>
        </is>
      </c>
      <c r="M311" t="n">
        <v>2024</v>
      </c>
      <c r="N311" s="22" t="n">
        <v>45566</v>
      </c>
      <c r="O311" s="24" t="n">
        <v>0.8911145351823317</v>
      </c>
      <c r="P311" s="23" t="n">
        <v>-19080</v>
      </c>
    </row>
    <row r="312">
      <c r="A312" t="inlineStr">
        <is>
          <t>Panadol 250 MG</t>
        </is>
      </c>
      <c r="B312" t="inlineStr">
        <is>
          <t>Dakahlia 1</t>
        </is>
      </c>
      <c r="C312" s="22" t="n">
        <v>45597</v>
      </c>
      <c r="D312" t="inlineStr">
        <is>
          <t>Nour El-Din</t>
        </is>
      </c>
      <c r="E312" t="n">
        <v>45</v>
      </c>
      <c r="F312" t="n">
        <v>3217</v>
      </c>
      <c r="G312" t="n">
        <v>3542</v>
      </c>
      <c r="H312" s="23" t="n">
        <v>144765</v>
      </c>
      <c r="I312" s="23" t="n">
        <v>159390</v>
      </c>
      <c r="J312" t="inlineStr">
        <is>
          <t>Nov</t>
        </is>
      </c>
      <c r="K312" t="n">
        <v>11</v>
      </c>
      <c r="L312" t="inlineStr">
        <is>
          <t>Q4</t>
        </is>
      </c>
      <c r="M312" t="n">
        <v>2024</v>
      </c>
      <c r="N312" s="22" t="n">
        <v>45597</v>
      </c>
      <c r="O312" s="24" t="n">
        <v>0.9082439299830605</v>
      </c>
      <c r="P312" s="23" t="n">
        <v>-14625</v>
      </c>
    </row>
    <row r="313">
      <c r="A313" t="inlineStr">
        <is>
          <t>Panadol 250 MG</t>
        </is>
      </c>
      <c r="B313" t="inlineStr">
        <is>
          <t>Dakahlia 1</t>
        </is>
      </c>
      <c r="C313" s="22" t="n">
        <v>45627</v>
      </c>
      <c r="D313" t="inlineStr">
        <is>
          <t>Nour El-Din</t>
        </is>
      </c>
      <c r="E313" t="n">
        <v>45</v>
      </c>
      <c r="F313" t="n">
        <v>3819</v>
      </c>
      <c r="G313" t="n">
        <v>3583</v>
      </c>
      <c r="H313" s="23" t="n">
        <v>171855</v>
      </c>
      <c r="I313" s="23" t="n">
        <v>161235</v>
      </c>
      <c r="J313" t="inlineStr">
        <is>
          <t>Dec</t>
        </is>
      </c>
      <c r="K313" t="n">
        <v>12</v>
      </c>
      <c r="L313" t="inlineStr">
        <is>
          <t>Q4</t>
        </is>
      </c>
      <c r="M313" t="n">
        <v>2024</v>
      </c>
      <c r="N313" s="22" t="n">
        <v>45627</v>
      </c>
      <c r="O313" s="24" t="n">
        <v>1.065866592241139</v>
      </c>
      <c r="P313" s="23" t="n">
        <v>10620</v>
      </c>
    </row>
    <row r="314">
      <c r="A314" t="inlineStr">
        <is>
          <t>Panadol 250 MG</t>
        </is>
      </c>
      <c r="B314" t="inlineStr">
        <is>
          <t>Dakahlia 2</t>
        </is>
      </c>
      <c r="C314" s="22" t="n">
        <v>45292</v>
      </c>
      <c r="D314" t="inlineStr">
        <is>
          <t>Omar Khaled</t>
        </is>
      </c>
      <c r="E314" t="n">
        <v>45</v>
      </c>
      <c r="F314" t="n">
        <v>3130</v>
      </c>
      <c r="G314" t="n">
        <v>3168</v>
      </c>
      <c r="H314" s="23" t="n">
        <v>140850</v>
      </c>
      <c r="I314" s="23" t="n">
        <v>142560</v>
      </c>
      <c r="J314" t="inlineStr">
        <is>
          <t>Jan</t>
        </is>
      </c>
      <c r="K314" t="n">
        <v>1</v>
      </c>
      <c r="L314" t="inlineStr">
        <is>
          <t>Q1</t>
        </is>
      </c>
      <c r="M314" t="n">
        <v>2024</v>
      </c>
      <c r="N314" s="22" t="n">
        <v>45292</v>
      </c>
      <c r="O314" s="24" t="n">
        <v>0.9880050505050505</v>
      </c>
      <c r="P314" s="23" t="n">
        <v>-1710</v>
      </c>
    </row>
    <row r="315">
      <c r="A315" t="inlineStr">
        <is>
          <t>Panadol 250 MG</t>
        </is>
      </c>
      <c r="B315" t="inlineStr">
        <is>
          <t>Dakahlia 2</t>
        </is>
      </c>
      <c r="C315" s="22" t="n">
        <v>45323</v>
      </c>
      <c r="D315" t="inlineStr">
        <is>
          <t>Omar Khaled</t>
        </is>
      </c>
      <c r="E315" t="n">
        <v>45</v>
      </c>
      <c r="F315" t="n">
        <v>2339</v>
      </c>
      <c r="G315" t="n">
        <v>2324</v>
      </c>
      <c r="H315" s="23" t="n">
        <v>105255</v>
      </c>
      <c r="I315" s="23" t="n">
        <v>104580</v>
      </c>
      <c r="J315" t="inlineStr">
        <is>
          <t>Feb</t>
        </is>
      </c>
      <c r="K315" t="n">
        <v>2</v>
      </c>
      <c r="L315" t="inlineStr">
        <is>
          <t>Q1</t>
        </is>
      </c>
      <c r="M315" t="n">
        <v>2024</v>
      </c>
      <c r="N315" s="22" t="n">
        <v>45323</v>
      </c>
      <c r="O315" s="24" t="n">
        <v>1.006454388984509</v>
      </c>
      <c r="P315" s="23" t="n">
        <v>675</v>
      </c>
    </row>
    <row r="316">
      <c r="A316" t="inlineStr">
        <is>
          <t>Panadol 250 MG</t>
        </is>
      </c>
      <c r="B316" t="inlineStr">
        <is>
          <t>Dakahlia 2</t>
        </is>
      </c>
      <c r="C316" s="22" t="n">
        <v>45352</v>
      </c>
      <c r="D316" t="inlineStr">
        <is>
          <t>Omar Khaled</t>
        </is>
      </c>
      <c r="E316" t="n">
        <v>45</v>
      </c>
      <c r="F316" t="n">
        <v>3282</v>
      </c>
      <c r="G316" t="n">
        <v>3748</v>
      </c>
      <c r="H316" s="23" t="n">
        <v>147690</v>
      </c>
      <c r="I316" s="23" t="n">
        <v>168660</v>
      </c>
      <c r="J316" t="inlineStr">
        <is>
          <t>Mar</t>
        </is>
      </c>
      <c r="K316" t="n">
        <v>3</v>
      </c>
      <c r="L316" t="inlineStr">
        <is>
          <t>Q1</t>
        </is>
      </c>
      <c r="M316" t="n">
        <v>2024</v>
      </c>
      <c r="N316" s="22" t="n">
        <v>45352</v>
      </c>
      <c r="O316" s="24" t="n">
        <v>0.875667022411953</v>
      </c>
      <c r="P316" s="23" t="n">
        <v>-20970</v>
      </c>
    </row>
    <row r="317">
      <c r="A317" t="inlineStr">
        <is>
          <t>Panadol 250 MG</t>
        </is>
      </c>
      <c r="B317" t="inlineStr">
        <is>
          <t>Dakahlia 2</t>
        </is>
      </c>
      <c r="C317" s="22" t="n">
        <v>45383</v>
      </c>
      <c r="D317" t="inlineStr">
        <is>
          <t>Omar Khaled</t>
        </is>
      </c>
      <c r="E317" t="n">
        <v>45</v>
      </c>
      <c r="F317" t="n">
        <v>3608</v>
      </c>
      <c r="G317" t="n">
        <v>3578</v>
      </c>
      <c r="H317" s="23" t="n">
        <v>162360</v>
      </c>
      <c r="I317" s="23" t="n">
        <v>161010</v>
      </c>
      <c r="J317" t="inlineStr">
        <is>
          <t>Apr</t>
        </is>
      </c>
      <c r="K317" t="n">
        <v>4</v>
      </c>
      <c r="L317" t="inlineStr">
        <is>
          <t>Q2</t>
        </is>
      </c>
      <c r="M317" t="n">
        <v>2024</v>
      </c>
      <c r="N317" s="22" t="n">
        <v>45383</v>
      </c>
      <c r="O317" s="24" t="n">
        <v>1.008384572386808</v>
      </c>
      <c r="P317" s="23" t="n">
        <v>1350</v>
      </c>
    </row>
    <row r="318">
      <c r="A318" t="inlineStr">
        <is>
          <t>Panadol 250 MG</t>
        </is>
      </c>
      <c r="B318" t="inlineStr">
        <is>
          <t>Dakahlia 2</t>
        </is>
      </c>
      <c r="C318" s="22" t="n">
        <v>45413</v>
      </c>
      <c r="D318" t="inlineStr">
        <is>
          <t>Omar Khaled</t>
        </is>
      </c>
      <c r="E318" t="n">
        <v>45</v>
      </c>
      <c r="F318" t="n">
        <v>2249</v>
      </c>
      <c r="G318" t="n">
        <v>2155</v>
      </c>
      <c r="H318" s="23" t="n">
        <v>101205</v>
      </c>
      <c r="I318" s="23" t="n">
        <v>96975</v>
      </c>
      <c r="J318" t="inlineStr">
        <is>
          <t>May</t>
        </is>
      </c>
      <c r="K318" t="n">
        <v>5</v>
      </c>
      <c r="L318" t="inlineStr">
        <is>
          <t>Q2</t>
        </is>
      </c>
      <c r="M318" t="n">
        <v>2024</v>
      </c>
      <c r="N318" s="22" t="n">
        <v>45413</v>
      </c>
      <c r="O318" s="24" t="n">
        <v>1.043619489559165</v>
      </c>
      <c r="P318" s="23" t="n">
        <v>4230</v>
      </c>
    </row>
    <row r="319">
      <c r="A319" t="inlineStr">
        <is>
          <t>Panadol 250 MG</t>
        </is>
      </c>
      <c r="B319" t="inlineStr">
        <is>
          <t>Dakahlia 2</t>
        </is>
      </c>
      <c r="C319" s="22" t="n">
        <v>45444</v>
      </c>
      <c r="D319" t="inlineStr">
        <is>
          <t>Omar Khaled</t>
        </is>
      </c>
      <c r="E319" t="n">
        <v>45</v>
      </c>
      <c r="F319" t="n">
        <v>2255</v>
      </c>
      <c r="G319" t="n">
        <v>2054</v>
      </c>
      <c r="H319" s="23" t="n">
        <v>101475</v>
      </c>
      <c r="I319" s="23" t="n">
        <v>92430</v>
      </c>
      <c r="J319" t="inlineStr">
        <is>
          <t>Jun</t>
        </is>
      </c>
      <c r="K319" t="n">
        <v>6</v>
      </c>
      <c r="L319" t="inlineStr">
        <is>
          <t>Q2</t>
        </is>
      </c>
      <c r="M319" t="n">
        <v>2024</v>
      </c>
      <c r="N319" s="22" t="n">
        <v>45444</v>
      </c>
      <c r="O319" s="24" t="n">
        <v>1.097857838364168</v>
      </c>
      <c r="P319" s="23" t="n">
        <v>9045</v>
      </c>
    </row>
    <row r="320">
      <c r="A320" t="inlineStr">
        <is>
          <t>Panadol 250 MG</t>
        </is>
      </c>
      <c r="B320" t="inlineStr">
        <is>
          <t>Dakahlia 2</t>
        </is>
      </c>
      <c r="C320" s="22" t="n">
        <v>45474</v>
      </c>
      <c r="D320" t="inlineStr">
        <is>
          <t>Omar Khaled</t>
        </is>
      </c>
      <c r="E320" t="n">
        <v>45</v>
      </c>
      <c r="F320" t="n">
        <v>2092</v>
      </c>
      <c r="G320" t="n">
        <v>2041</v>
      </c>
      <c r="H320" s="23" t="n">
        <v>94140</v>
      </c>
      <c r="I320" s="23" t="n">
        <v>91845</v>
      </c>
      <c r="J320" t="inlineStr">
        <is>
          <t>Jul</t>
        </is>
      </c>
      <c r="K320" t="n">
        <v>7</v>
      </c>
      <c r="L320" t="inlineStr">
        <is>
          <t>Q3</t>
        </is>
      </c>
      <c r="M320" t="n">
        <v>2024</v>
      </c>
      <c r="N320" s="22" t="n">
        <v>45474</v>
      </c>
      <c r="O320" s="24" t="n">
        <v>1.024987751102401</v>
      </c>
      <c r="P320" s="23" t="n">
        <v>2295</v>
      </c>
    </row>
    <row r="321">
      <c r="A321" t="inlineStr">
        <is>
          <t>Panadol 250 MG</t>
        </is>
      </c>
      <c r="B321" t="inlineStr">
        <is>
          <t>Dakahlia 2</t>
        </is>
      </c>
      <c r="C321" s="22" t="n">
        <v>45505</v>
      </c>
      <c r="D321" t="inlineStr">
        <is>
          <t>Omar Khaled</t>
        </is>
      </c>
      <c r="E321" t="n">
        <v>45</v>
      </c>
      <c r="F321" t="n">
        <v>3061</v>
      </c>
      <c r="G321" t="n">
        <v>3411</v>
      </c>
      <c r="H321" s="23" t="n">
        <v>137745</v>
      </c>
      <c r="I321" s="23" t="n">
        <v>153495</v>
      </c>
      <c r="J321" t="inlineStr">
        <is>
          <t>Aug</t>
        </is>
      </c>
      <c r="K321" t="n">
        <v>8</v>
      </c>
      <c r="L321" t="inlineStr">
        <is>
          <t>Q3</t>
        </is>
      </c>
      <c r="M321" t="n">
        <v>2024</v>
      </c>
      <c r="N321" s="22" t="n">
        <v>45505</v>
      </c>
      <c r="O321" s="24" t="n">
        <v>0.8973907944884199</v>
      </c>
      <c r="P321" s="23" t="n">
        <v>-15750</v>
      </c>
    </row>
    <row r="322">
      <c r="A322" t="inlineStr">
        <is>
          <t>Panadol 250 MG</t>
        </is>
      </c>
      <c r="B322" t="inlineStr">
        <is>
          <t>Dakahlia 2</t>
        </is>
      </c>
      <c r="C322" s="22" t="n">
        <v>45536</v>
      </c>
      <c r="D322" t="inlineStr">
        <is>
          <t>Omar Khaled</t>
        </is>
      </c>
      <c r="E322" t="n">
        <v>45</v>
      </c>
      <c r="F322" t="n">
        <v>3032</v>
      </c>
      <c r="G322" t="n">
        <v>3302</v>
      </c>
      <c r="H322" s="23" t="n">
        <v>136440</v>
      </c>
      <c r="I322" s="23" t="n">
        <v>148590</v>
      </c>
      <c r="J322" t="inlineStr">
        <is>
          <t>Sep</t>
        </is>
      </c>
      <c r="K322" t="n">
        <v>9</v>
      </c>
      <c r="L322" t="inlineStr">
        <is>
          <t>Q3</t>
        </is>
      </c>
      <c r="M322" t="n">
        <v>2024</v>
      </c>
      <c r="N322" s="22" t="n">
        <v>45536</v>
      </c>
      <c r="O322" s="24" t="n">
        <v>0.9182313749242883</v>
      </c>
      <c r="P322" s="23" t="n">
        <v>-12150</v>
      </c>
    </row>
    <row r="323">
      <c r="A323" t="inlineStr">
        <is>
          <t>Panadol 250 MG</t>
        </is>
      </c>
      <c r="B323" t="inlineStr">
        <is>
          <t>Dakahlia 2</t>
        </is>
      </c>
      <c r="C323" s="22" t="n">
        <v>45566</v>
      </c>
      <c r="D323" t="inlineStr">
        <is>
          <t>Omar Khaled</t>
        </is>
      </c>
      <c r="E323" t="n">
        <v>45</v>
      </c>
      <c r="F323" t="n">
        <v>2583</v>
      </c>
      <c r="G323" t="n">
        <v>2378</v>
      </c>
      <c r="H323" s="23" t="n">
        <v>116235</v>
      </c>
      <c r="I323" s="23" t="n">
        <v>107010</v>
      </c>
      <c r="J323" t="inlineStr">
        <is>
          <t>Oct</t>
        </is>
      </c>
      <c r="K323" t="n">
        <v>10</v>
      </c>
      <c r="L323" t="inlineStr">
        <is>
          <t>Q4</t>
        </is>
      </c>
      <c r="M323" t="n">
        <v>2024</v>
      </c>
      <c r="N323" s="22" t="n">
        <v>45566</v>
      </c>
      <c r="O323" s="24" t="n">
        <v>1.086206896551724</v>
      </c>
      <c r="P323" s="23" t="n">
        <v>9225</v>
      </c>
    </row>
    <row r="324">
      <c r="A324" t="inlineStr">
        <is>
          <t>Panadol 250 MG</t>
        </is>
      </c>
      <c r="B324" t="inlineStr">
        <is>
          <t>Dakahlia 2</t>
        </is>
      </c>
      <c r="C324" s="22" t="n">
        <v>45597</v>
      </c>
      <c r="D324" t="inlineStr">
        <is>
          <t>Omar Khaled</t>
        </is>
      </c>
      <c r="E324" t="n">
        <v>45</v>
      </c>
      <c r="F324" t="n">
        <v>3016</v>
      </c>
      <c r="G324" t="n">
        <v>2931</v>
      </c>
      <c r="H324" s="23" t="n">
        <v>135720</v>
      </c>
      <c r="I324" s="23" t="n">
        <v>131895</v>
      </c>
      <c r="J324" t="inlineStr">
        <is>
          <t>Nov</t>
        </is>
      </c>
      <c r="K324" t="n">
        <v>11</v>
      </c>
      <c r="L324" t="inlineStr">
        <is>
          <t>Q4</t>
        </is>
      </c>
      <c r="M324" t="n">
        <v>2024</v>
      </c>
      <c r="N324" s="22" t="n">
        <v>45597</v>
      </c>
      <c r="O324" s="24" t="n">
        <v>1.029000341180484</v>
      </c>
      <c r="P324" s="23" t="n">
        <v>3825</v>
      </c>
    </row>
    <row r="325">
      <c r="A325" t="inlineStr">
        <is>
          <t>Panadol 250 MG</t>
        </is>
      </c>
      <c r="B325" t="inlineStr">
        <is>
          <t>Dakahlia 2</t>
        </is>
      </c>
      <c r="C325" s="22" t="n">
        <v>45627</v>
      </c>
      <c r="D325" t="inlineStr">
        <is>
          <t>Omar Khaled</t>
        </is>
      </c>
      <c r="E325" t="n">
        <v>45</v>
      </c>
      <c r="F325" t="n">
        <v>2030</v>
      </c>
      <c r="G325" t="n">
        <v>2193</v>
      </c>
      <c r="H325" s="23" t="n">
        <v>91350</v>
      </c>
      <c r="I325" s="23" t="n">
        <v>98685</v>
      </c>
      <c r="J325" t="inlineStr">
        <is>
          <t>Dec</t>
        </is>
      </c>
      <c r="K325" t="n">
        <v>12</v>
      </c>
      <c r="L325" t="inlineStr">
        <is>
          <t>Q4</t>
        </is>
      </c>
      <c r="M325" t="n">
        <v>2024</v>
      </c>
      <c r="N325" s="22" t="n">
        <v>45627</v>
      </c>
      <c r="O325" s="24" t="n">
        <v>0.925672594619243</v>
      </c>
      <c r="P325" s="23" t="n">
        <v>-7335</v>
      </c>
    </row>
    <row r="326">
      <c r="A326" t="inlineStr">
        <is>
          <t>Panadol 250 MG</t>
        </is>
      </c>
      <c r="B326" t="inlineStr">
        <is>
          <t>Sharqia 1</t>
        </is>
      </c>
      <c r="C326" s="22" t="n">
        <v>45292</v>
      </c>
      <c r="D326" t="inlineStr">
        <is>
          <t>Sara Ibrahim</t>
        </is>
      </c>
      <c r="E326" t="n">
        <v>45</v>
      </c>
      <c r="F326" t="n">
        <v>2275</v>
      </c>
      <c r="G326" t="n">
        <v>2550</v>
      </c>
      <c r="H326" s="23" t="n">
        <v>102375</v>
      </c>
      <c r="I326" s="23" t="n">
        <v>114750</v>
      </c>
      <c r="J326" t="inlineStr">
        <is>
          <t>Jan</t>
        </is>
      </c>
      <c r="K326" t="n">
        <v>1</v>
      </c>
      <c r="L326" t="inlineStr">
        <is>
          <t>Q1</t>
        </is>
      </c>
      <c r="M326" t="n">
        <v>2024</v>
      </c>
      <c r="N326" s="22" t="n">
        <v>45292</v>
      </c>
      <c r="O326" s="24" t="n">
        <v>0.8921568627450981</v>
      </c>
      <c r="P326" s="23" t="n">
        <v>-12375</v>
      </c>
    </row>
    <row r="327">
      <c r="A327" t="inlineStr">
        <is>
          <t>Panadol 250 MG</t>
        </is>
      </c>
      <c r="B327" t="inlineStr">
        <is>
          <t>Sharqia 1</t>
        </is>
      </c>
      <c r="C327" s="22" t="n">
        <v>45323</v>
      </c>
      <c r="D327" t="inlineStr">
        <is>
          <t>Sara Ibrahim</t>
        </is>
      </c>
      <c r="E327" t="n">
        <v>45</v>
      </c>
      <c r="F327" t="n">
        <v>2424</v>
      </c>
      <c r="G327" t="n">
        <v>2830</v>
      </c>
      <c r="H327" s="23" t="n">
        <v>109080</v>
      </c>
      <c r="I327" s="23" t="n">
        <v>127350</v>
      </c>
      <c r="J327" t="inlineStr">
        <is>
          <t>Feb</t>
        </is>
      </c>
      <c r="K327" t="n">
        <v>2</v>
      </c>
      <c r="L327" t="inlineStr">
        <is>
          <t>Q1</t>
        </is>
      </c>
      <c r="M327" t="n">
        <v>2024</v>
      </c>
      <c r="N327" s="22" t="n">
        <v>45323</v>
      </c>
      <c r="O327" s="24" t="n">
        <v>0.8565371024734982</v>
      </c>
      <c r="P327" s="23" t="n">
        <v>-18270</v>
      </c>
    </row>
    <row r="328">
      <c r="A328" t="inlineStr">
        <is>
          <t>Panadol 250 MG</t>
        </is>
      </c>
      <c r="B328" t="inlineStr">
        <is>
          <t>Sharqia 1</t>
        </is>
      </c>
      <c r="C328" s="22" t="n">
        <v>45352</v>
      </c>
      <c r="D328" t="inlineStr">
        <is>
          <t>Sara Ibrahim</t>
        </is>
      </c>
      <c r="E328" t="n">
        <v>45</v>
      </c>
      <c r="F328" t="n">
        <v>2435</v>
      </c>
      <c r="G328" t="n">
        <v>2756</v>
      </c>
      <c r="H328" s="23" t="n">
        <v>109575</v>
      </c>
      <c r="I328" s="23" t="n">
        <v>124020</v>
      </c>
      <c r="J328" t="inlineStr">
        <is>
          <t>Mar</t>
        </is>
      </c>
      <c r="K328" t="n">
        <v>3</v>
      </c>
      <c r="L328" t="inlineStr">
        <is>
          <t>Q1</t>
        </is>
      </c>
      <c r="M328" t="n">
        <v>2024</v>
      </c>
      <c r="N328" s="22" t="n">
        <v>45352</v>
      </c>
      <c r="O328" s="24" t="n">
        <v>0.8835268505079826</v>
      </c>
      <c r="P328" s="23" t="n">
        <v>-14445</v>
      </c>
    </row>
    <row r="329">
      <c r="A329" t="inlineStr">
        <is>
          <t>Panadol 250 MG</t>
        </is>
      </c>
      <c r="B329" t="inlineStr">
        <is>
          <t>Sharqia 1</t>
        </is>
      </c>
      <c r="C329" s="22" t="n">
        <v>45383</v>
      </c>
      <c r="D329" t="inlineStr">
        <is>
          <t>Sara Ibrahim</t>
        </is>
      </c>
      <c r="E329" t="n">
        <v>45</v>
      </c>
      <c r="F329" t="n">
        <v>2257</v>
      </c>
      <c r="G329" t="n">
        <v>2445</v>
      </c>
      <c r="H329" s="23" t="n">
        <v>101565</v>
      </c>
      <c r="I329" s="23" t="n">
        <v>110025</v>
      </c>
      <c r="J329" t="inlineStr">
        <is>
          <t>Apr</t>
        </is>
      </c>
      <c r="K329" t="n">
        <v>4</v>
      </c>
      <c r="L329" t="inlineStr">
        <is>
          <t>Q2</t>
        </is>
      </c>
      <c r="M329" t="n">
        <v>2024</v>
      </c>
      <c r="N329" s="22" t="n">
        <v>45383</v>
      </c>
      <c r="O329" s="24" t="n">
        <v>0.9231083844580777</v>
      </c>
      <c r="P329" s="23" t="n">
        <v>-8460</v>
      </c>
    </row>
    <row r="330">
      <c r="A330" t="inlineStr">
        <is>
          <t>Panadol 250 MG</t>
        </is>
      </c>
      <c r="B330" t="inlineStr">
        <is>
          <t>Sharqia 1</t>
        </is>
      </c>
      <c r="C330" s="22" t="n">
        <v>45413</v>
      </c>
      <c r="D330" t="inlineStr">
        <is>
          <t>Sara Ibrahim</t>
        </is>
      </c>
      <c r="E330" t="n">
        <v>45</v>
      </c>
      <c r="F330" t="n">
        <v>2418</v>
      </c>
      <c r="G330" t="n">
        <v>2841</v>
      </c>
      <c r="H330" s="23" t="n">
        <v>108810</v>
      </c>
      <c r="I330" s="23" t="n">
        <v>127845</v>
      </c>
      <c r="J330" t="inlineStr">
        <is>
          <t>May</t>
        </is>
      </c>
      <c r="K330" t="n">
        <v>5</v>
      </c>
      <c r="L330" t="inlineStr">
        <is>
          <t>Q2</t>
        </is>
      </c>
      <c r="M330" t="n">
        <v>2024</v>
      </c>
      <c r="N330" s="22" t="n">
        <v>45413</v>
      </c>
      <c r="O330" s="24" t="n">
        <v>0.8511087645195353</v>
      </c>
      <c r="P330" s="23" t="n">
        <v>-19035</v>
      </c>
    </row>
    <row r="331">
      <c r="A331" t="inlineStr">
        <is>
          <t>Panadol 250 MG</t>
        </is>
      </c>
      <c r="B331" t="inlineStr">
        <is>
          <t>Sharqia 1</t>
        </is>
      </c>
      <c r="C331" s="22" t="n">
        <v>45444</v>
      </c>
      <c r="D331" t="inlineStr">
        <is>
          <t>Sara Ibrahim</t>
        </is>
      </c>
      <c r="E331" t="n">
        <v>45</v>
      </c>
      <c r="F331" t="n">
        <v>1807</v>
      </c>
      <c r="G331" t="n">
        <v>2020</v>
      </c>
      <c r="H331" s="23" t="n">
        <v>81315</v>
      </c>
      <c r="I331" s="23" t="n">
        <v>90900</v>
      </c>
      <c r="J331" t="inlineStr">
        <is>
          <t>Jun</t>
        </is>
      </c>
      <c r="K331" t="n">
        <v>6</v>
      </c>
      <c r="L331" t="inlineStr">
        <is>
          <t>Q2</t>
        </is>
      </c>
      <c r="M331" t="n">
        <v>2024</v>
      </c>
      <c r="N331" s="22" t="n">
        <v>45444</v>
      </c>
      <c r="O331" s="24" t="n">
        <v>0.8945544554455446</v>
      </c>
      <c r="P331" s="23" t="n">
        <v>-9585</v>
      </c>
    </row>
    <row r="332">
      <c r="A332" t="inlineStr">
        <is>
          <t>Panadol 250 MG</t>
        </is>
      </c>
      <c r="B332" t="inlineStr">
        <is>
          <t>Sharqia 1</t>
        </is>
      </c>
      <c r="C332" s="22" t="n">
        <v>45474</v>
      </c>
      <c r="D332" t="inlineStr">
        <is>
          <t>Sara Ibrahim</t>
        </is>
      </c>
      <c r="E332" t="n">
        <v>45</v>
      </c>
      <c r="F332" t="n">
        <v>3300</v>
      </c>
      <c r="G332" t="n">
        <v>3590</v>
      </c>
      <c r="H332" s="23" t="n">
        <v>148500</v>
      </c>
      <c r="I332" s="23" t="n">
        <v>161550</v>
      </c>
      <c r="J332" t="inlineStr">
        <is>
          <t>Jul</t>
        </is>
      </c>
      <c r="K332" t="n">
        <v>7</v>
      </c>
      <c r="L332" t="inlineStr">
        <is>
          <t>Q3</t>
        </is>
      </c>
      <c r="M332" t="n">
        <v>2024</v>
      </c>
      <c r="N332" s="22" t="n">
        <v>45474</v>
      </c>
      <c r="O332" s="24" t="n">
        <v>0.9192200557103064</v>
      </c>
      <c r="P332" s="23" t="n">
        <v>-13050</v>
      </c>
    </row>
    <row r="333">
      <c r="A333" t="inlineStr">
        <is>
          <t>Panadol 250 MG</t>
        </is>
      </c>
      <c r="B333" t="inlineStr">
        <is>
          <t>Sharqia 1</t>
        </is>
      </c>
      <c r="C333" s="22" t="n">
        <v>45505</v>
      </c>
      <c r="D333" t="inlineStr">
        <is>
          <t>Sara Ibrahim</t>
        </is>
      </c>
      <c r="E333" t="n">
        <v>45</v>
      </c>
      <c r="F333" t="n">
        <v>3100</v>
      </c>
      <c r="G333" t="n">
        <v>3759</v>
      </c>
      <c r="H333" s="23" t="n">
        <v>139500</v>
      </c>
      <c r="I333" s="23" t="n">
        <v>169155</v>
      </c>
      <c r="J333" t="inlineStr">
        <is>
          <t>Aug</t>
        </is>
      </c>
      <c r="K333" t="n">
        <v>8</v>
      </c>
      <c r="L333" t="inlineStr">
        <is>
          <t>Q3</t>
        </is>
      </c>
      <c r="M333" t="n">
        <v>2024</v>
      </c>
      <c r="N333" s="22" t="n">
        <v>45505</v>
      </c>
      <c r="O333" s="24" t="n">
        <v>0.8246874168661879</v>
      </c>
      <c r="P333" s="23" t="n">
        <v>-29655</v>
      </c>
    </row>
    <row r="334">
      <c r="A334" t="inlineStr">
        <is>
          <t>Panadol 250 MG</t>
        </is>
      </c>
      <c r="B334" t="inlineStr">
        <is>
          <t>Sharqia 1</t>
        </is>
      </c>
      <c r="C334" s="22" t="n">
        <v>45536</v>
      </c>
      <c r="D334" t="inlineStr">
        <is>
          <t>Sara Ibrahim</t>
        </is>
      </c>
      <c r="E334" t="n">
        <v>45</v>
      </c>
      <c r="F334" t="n">
        <v>1833</v>
      </c>
      <c r="G334" t="n">
        <v>2136</v>
      </c>
      <c r="H334" s="23" t="n">
        <v>82485</v>
      </c>
      <c r="I334" s="23" t="n">
        <v>96120</v>
      </c>
      <c r="J334" t="inlineStr">
        <is>
          <t>Sep</t>
        </is>
      </c>
      <c r="K334" t="n">
        <v>9</v>
      </c>
      <c r="L334" t="inlineStr">
        <is>
          <t>Q3</t>
        </is>
      </c>
      <c r="M334" t="n">
        <v>2024</v>
      </c>
      <c r="N334" s="22" t="n">
        <v>45536</v>
      </c>
      <c r="O334" s="24" t="n">
        <v>0.8581460674157303</v>
      </c>
      <c r="P334" s="23" t="n">
        <v>-13635</v>
      </c>
    </row>
    <row r="335">
      <c r="A335" t="inlineStr">
        <is>
          <t>Panadol 250 MG</t>
        </is>
      </c>
      <c r="B335" t="inlineStr">
        <is>
          <t>Sharqia 1</t>
        </is>
      </c>
      <c r="C335" s="22" t="n">
        <v>45566</v>
      </c>
      <c r="D335" t="inlineStr">
        <is>
          <t>Sara Ibrahim</t>
        </is>
      </c>
      <c r="E335" t="n">
        <v>45</v>
      </c>
      <c r="F335" t="n">
        <v>2431</v>
      </c>
      <c r="G335" t="n">
        <v>2598</v>
      </c>
      <c r="H335" s="23" t="n">
        <v>109395</v>
      </c>
      <c r="I335" s="23" t="n">
        <v>116910</v>
      </c>
      <c r="J335" t="inlineStr">
        <is>
          <t>Oct</t>
        </is>
      </c>
      <c r="K335" t="n">
        <v>10</v>
      </c>
      <c r="L335" t="inlineStr">
        <is>
          <t>Q4</t>
        </is>
      </c>
      <c r="M335" t="n">
        <v>2024</v>
      </c>
      <c r="N335" s="22" t="n">
        <v>45566</v>
      </c>
      <c r="O335" s="24" t="n">
        <v>0.9357197844495766</v>
      </c>
      <c r="P335" s="23" t="n">
        <v>-7515</v>
      </c>
    </row>
    <row r="336">
      <c r="A336" t="inlineStr">
        <is>
          <t>Panadol 250 MG</t>
        </is>
      </c>
      <c r="B336" t="inlineStr">
        <is>
          <t>Sharqia 1</t>
        </is>
      </c>
      <c r="C336" s="22" t="n">
        <v>45597</v>
      </c>
      <c r="D336" t="inlineStr">
        <is>
          <t>Sara Ibrahim</t>
        </is>
      </c>
      <c r="E336" t="n">
        <v>45</v>
      </c>
      <c r="F336" t="n">
        <v>3421</v>
      </c>
      <c r="G336" t="n">
        <v>3814</v>
      </c>
      <c r="H336" s="23" t="n">
        <v>153945</v>
      </c>
      <c r="I336" s="23" t="n">
        <v>171630</v>
      </c>
      <c r="J336" t="inlineStr">
        <is>
          <t>Nov</t>
        </is>
      </c>
      <c r="K336" t="n">
        <v>11</v>
      </c>
      <c r="L336" t="inlineStr">
        <is>
          <t>Q4</t>
        </is>
      </c>
      <c r="M336" t="n">
        <v>2024</v>
      </c>
      <c r="N336" s="22" t="n">
        <v>45597</v>
      </c>
      <c r="O336" s="24" t="n">
        <v>0.8969585736759308</v>
      </c>
      <c r="P336" s="23" t="n">
        <v>-17685</v>
      </c>
    </row>
    <row r="337">
      <c r="A337" t="inlineStr">
        <is>
          <t>Panadol 250 MG</t>
        </is>
      </c>
      <c r="B337" t="inlineStr">
        <is>
          <t>Sharqia 1</t>
        </is>
      </c>
      <c r="C337" s="22" t="n">
        <v>45627</v>
      </c>
      <c r="D337" t="inlineStr">
        <is>
          <t>Sara Ibrahim</t>
        </is>
      </c>
      <c r="E337" t="n">
        <v>45</v>
      </c>
      <c r="F337" t="n">
        <v>3583</v>
      </c>
      <c r="G337" t="n">
        <v>3726</v>
      </c>
      <c r="H337" s="23" t="n">
        <v>161235</v>
      </c>
      <c r="I337" s="23" t="n">
        <v>167670</v>
      </c>
      <c r="J337" t="inlineStr">
        <is>
          <t>Dec</t>
        </is>
      </c>
      <c r="K337" t="n">
        <v>12</v>
      </c>
      <c r="L337" t="inlineStr">
        <is>
          <t>Q4</t>
        </is>
      </c>
      <c r="M337" t="n">
        <v>2024</v>
      </c>
      <c r="N337" s="22" t="n">
        <v>45627</v>
      </c>
      <c r="O337" s="24" t="n">
        <v>0.9616210413311863</v>
      </c>
      <c r="P337" s="23" t="n">
        <v>-6435</v>
      </c>
    </row>
    <row r="338">
      <c r="A338" t="inlineStr">
        <is>
          <t>Panadol 250 MG</t>
        </is>
      </c>
      <c r="B338" t="inlineStr">
        <is>
          <t>Sharqia 2</t>
        </is>
      </c>
      <c r="C338" s="22" t="n">
        <v>45292</v>
      </c>
      <c r="D338" t="inlineStr">
        <is>
          <t>Youssef Farouk</t>
        </is>
      </c>
      <c r="E338" t="n">
        <v>45</v>
      </c>
      <c r="F338" t="n">
        <v>2636</v>
      </c>
      <c r="G338" t="n">
        <v>2741</v>
      </c>
      <c r="H338" s="23" t="n">
        <v>118620</v>
      </c>
      <c r="I338" s="23" t="n">
        <v>123345</v>
      </c>
      <c r="J338" t="inlineStr">
        <is>
          <t>Jan</t>
        </is>
      </c>
      <c r="K338" t="n">
        <v>1</v>
      </c>
      <c r="L338" t="inlineStr">
        <is>
          <t>Q1</t>
        </is>
      </c>
      <c r="M338" t="n">
        <v>2024</v>
      </c>
      <c r="N338" s="22" t="n">
        <v>45292</v>
      </c>
      <c r="O338" s="24" t="n">
        <v>0.9616928128420285</v>
      </c>
      <c r="P338" s="23" t="n">
        <v>-4725</v>
      </c>
    </row>
    <row r="339">
      <c r="A339" t="inlineStr">
        <is>
          <t>Panadol 250 MG</t>
        </is>
      </c>
      <c r="B339" t="inlineStr">
        <is>
          <t>Sharqia 2</t>
        </is>
      </c>
      <c r="C339" s="22" t="n">
        <v>45323</v>
      </c>
      <c r="D339" t="inlineStr">
        <is>
          <t>Youssef Farouk</t>
        </is>
      </c>
      <c r="E339" t="n">
        <v>45</v>
      </c>
      <c r="F339" t="n">
        <v>2654</v>
      </c>
      <c r="G339" t="n">
        <v>2544</v>
      </c>
      <c r="H339" s="23" t="n">
        <v>119430</v>
      </c>
      <c r="I339" s="23" t="n">
        <v>114480</v>
      </c>
      <c r="J339" t="inlineStr">
        <is>
          <t>Feb</t>
        </is>
      </c>
      <c r="K339" t="n">
        <v>2</v>
      </c>
      <c r="L339" t="inlineStr">
        <is>
          <t>Q1</t>
        </is>
      </c>
      <c r="M339" t="n">
        <v>2024</v>
      </c>
      <c r="N339" s="22" t="n">
        <v>45323</v>
      </c>
      <c r="O339" s="24" t="n">
        <v>1.043238993710692</v>
      </c>
      <c r="P339" s="23" t="n">
        <v>4950</v>
      </c>
    </row>
    <row r="340">
      <c r="A340" t="inlineStr">
        <is>
          <t>Panadol 250 MG</t>
        </is>
      </c>
      <c r="B340" t="inlineStr">
        <is>
          <t>Sharqia 2</t>
        </is>
      </c>
      <c r="C340" s="22" t="n">
        <v>45352</v>
      </c>
      <c r="D340" t="inlineStr">
        <is>
          <t>Youssef Farouk</t>
        </is>
      </c>
      <c r="E340" t="n">
        <v>45</v>
      </c>
      <c r="F340" t="n">
        <v>3465</v>
      </c>
      <c r="G340" t="n">
        <v>3674</v>
      </c>
      <c r="H340" s="23" t="n">
        <v>155925</v>
      </c>
      <c r="I340" s="23" t="n">
        <v>165330</v>
      </c>
      <c r="J340" t="inlineStr">
        <is>
          <t>Mar</t>
        </is>
      </c>
      <c r="K340" t="n">
        <v>3</v>
      </c>
      <c r="L340" t="inlineStr">
        <is>
          <t>Q1</t>
        </is>
      </c>
      <c r="M340" t="n">
        <v>2024</v>
      </c>
      <c r="N340" s="22" t="n">
        <v>45352</v>
      </c>
      <c r="O340" s="24" t="n">
        <v>0.9431137724550899</v>
      </c>
      <c r="P340" s="23" t="n">
        <v>-9405</v>
      </c>
    </row>
    <row r="341">
      <c r="A341" t="inlineStr">
        <is>
          <t>Panadol 250 MG</t>
        </is>
      </c>
      <c r="B341" t="inlineStr">
        <is>
          <t>Sharqia 2</t>
        </is>
      </c>
      <c r="C341" s="22" t="n">
        <v>45383</v>
      </c>
      <c r="D341" t="inlineStr">
        <is>
          <t>Youssef Farouk</t>
        </is>
      </c>
      <c r="E341" t="n">
        <v>45</v>
      </c>
      <c r="F341" t="n">
        <v>2383</v>
      </c>
      <c r="G341" t="n">
        <v>2559</v>
      </c>
      <c r="H341" s="23" t="n">
        <v>107235</v>
      </c>
      <c r="I341" s="23" t="n">
        <v>115155</v>
      </c>
      <c r="J341" t="inlineStr">
        <is>
          <t>Apr</t>
        </is>
      </c>
      <c r="K341" t="n">
        <v>4</v>
      </c>
      <c r="L341" t="inlineStr">
        <is>
          <t>Q2</t>
        </is>
      </c>
      <c r="M341" t="n">
        <v>2024</v>
      </c>
      <c r="N341" s="22" t="n">
        <v>45383</v>
      </c>
      <c r="O341" s="24" t="n">
        <v>0.9312231340367331</v>
      </c>
      <c r="P341" s="23" t="n">
        <v>-7920</v>
      </c>
    </row>
    <row r="342">
      <c r="A342" t="inlineStr">
        <is>
          <t>Panadol 250 MG</t>
        </is>
      </c>
      <c r="B342" t="inlineStr">
        <is>
          <t>Sharqia 2</t>
        </is>
      </c>
      <c r="C342" s="22" t="n">
        <v>45413</v>
      </c>
      <c r="D342" t="inlineStr">
        <is>
          <t>Youssef Farouk</t>
        </is>
      </c>
      <c r="E342" t="n">
        <v>45</v>
      </c>
      <c r="F342" t="n">
        <v>3772</v>
      </c>
      <c r="G342" t="n">
        <v>3729</v>
      </c>
      <c r="H342" s="23" t="n">
        <v>169740</v>
      </c>
      <c r="I342" s="23" t="n">
        <v>167805</v>
      </c>
      <c r="J342" t="inlineStr">
        <is>
          <t>May</t>
        </is>
      </c>
      <c r="K342" t="n">
        <v>5</v>
      </c>
      <c r="L342" t="inlineStr">
        <is>
          <t>Q2</t>
        </is>
      </c>
      <c r="M342" t="n">
        <v>2024</v>
      </c>
      <c r="N342" s="22" t="n">
        <v>45413</v>
      </c>
      <c r="O342" s="24" t="n">
        <v>1.011531241619737</v>
      </c>
      <c r="P342" s="23" t="n">
        <v>1935</v>
      </c>
    </row>
    <row r="343">
      <c r="A343" t="inlineStr">
        <is>
          <t>Panadol 250 MG</t>
        </is>
      </c>
      <c r="B343" t="inlineStr">
        <is>
          <t>Sharqia 2</t>
        </is>
      </c>
      <c r="C343" s="22" t="n">
        <v>45444</v>
      </c>
      <c r="D343" t="inlineStr">
        <is>
          <t>Youssef Farouk</t>
        </is>
      </c>
      <c r="E343" t="n">
        <v>45</v>
      </c>
      <c r="F343" t="n">
        <v>3539</v>
      </c>
      <c r="G343" t="n">
        <v>3299</v>
      </c>
      <c r="H343" s="23" t="n">
        <v>159255</v>
      </c>
      <c r="I343" s="23" t="n">
        <v>148455</v>
      </c>
      <c r="J343" t="inlineStr">
        <is>
          <t>Jun</t>
        </is>
      </c>
      <c r="K343" t="n">
        <v>6</v>
      </c>
      <c r="L343" t="inlineStr">
        <is>
          <t>Q2</t>
        </is>
      </c>
      <c r="M343" t="n">
        <v>2024</v>
      </c>
      <c r="N343" s="22" t="n">
        <v>45444</v>
      </c>
      <c r="O343" s="24" t="n">
        <v>1.072749317975144</v>
      </c>
      <c r="P343" s="23" t="n">
        <v>10800</v>
      </c>
    </row>
    <row r="344">
      <c r="A344" t="inlineStr">
        <is>
          <t>Panadol 250 MG</t>
        </is>
      </c>
      <c r="B344" t="inlineStr">
        <is>
          <t>Sharqia 2</t>
        </is>
      </c>
      <c r="C344" s="22" t="n">
        <v>45474</v>
      </c>
      <c r="D344" t="inlineStr">
        <is>
          <t>Youssef Farouk</t>
        </is>
      </c>
      <c r="E344" t="n">
        <v>45</v>
      </c>
      <c r="F344" t="n">
        <v>2963</v>
      </c>
      <c r="G344" t="n">
        <v>3382</v>
      </c>
      <c r="H344" s="23" t="n">
        <v>133335</v>
      </c>
      <c r="I344" s="23" t="n">
        <v>152190</v>
      </c>
      <c r="J344" t="inlineStr">
        <is>
          <t>Jul</t>
        </is>
      </c>
      <c r="K344" t="n">
        <v>7</v>
      </c>
      <c r="L344" t="inlineStr">
        <is>
          <t>Q3</t>
        </is>
      </c>
      <c r="M344" t="n">
        <v>2024</v>
      </c>
      <c r="N344" s="22" t="n">
        <v>45474</v>
      </c>
      <c r="O344" s="24" t="n">
        <v>0.8761088113542282</v>
      </c>
      <c r="P344" s="23" t="n">
        <v>-18855</v>
      </c>
    </row>
    <row r="345">
      <c r="A345" t="inlineStr">
        <is>
          <t>Panadol 250 MG</t>
        </is>
      </c>
      <c r="B345" t="inlineStr">
        <is>
          <t>Sharqia 2</t>
        </is>
      </c>
      <c r="C345" s="22" t="n">
        <v>45505</v>
      </c>
      <c r="D345" t="inlineStr">
        <is>
          <t>Youssef Farouk</t>
        </is>
      </c>
      <c r="E345" t="n">
        <v>45</v>
      </c>
      <c r="F345" t="n">
        <v>2295</v>
      </c>
      <c r="G345" t="n">
        <v>2680</v>
      </c>
      <c r="H345" s="23" t="n">
        <v>103275</v>
      </c>
      <c r="I345" s="23" t="n">
        <v>120600</v>
      </c>
      <c r="J345" t="inlineStr">
        <is>
          <t>Aug</t>
        </is>
      </c>
      <c r="K345" t="n">
        <v>8</v>
      </c>
      <c r="L345" t="inlineStr">
        <is>
          <t>Q3</t>
        </is>
      </c>
      <c r="M345" t="n">
        <v>2024</v>
      </c>
      <c r="N345" s="22" t="n">
        <v>45505</v>
      </c>
      <c r="O345" s="24" t="n">
        <v>0.8563432835820896</v>
      </c>
      <c r="P345" s="23" t="n">
        <v>-17325</v>
      </c>
    </row>
    <row r="346">
      <c r="A346" t="inlineStr">
        <is>
          <t>Panadol 250 MG</t>
        </is>
      </c>
      <c r="B346" t="inlineStr">
        <is>
          <t>Sharqia 2</t>
        </is>
      </c>
      <c r="C346" s="22" t="n">
        <v>45536</v>
      </c>
      <c r="D346" t="inlineStr">
        <is>
          <t>Youssef Farouk</t>
        </is>
      </c>
      <c r="E346" t="n">
        <v>45</v>
      </c>
      <c r="F346" t="n">
        <v>2959</v>
      </c>
      <c r="G346" t="n">
        <v>3119</v>
      </c>
      <c r="H346" s="23" t="n">
        <v>133155</v>
      </c>
      <c r="I346" s="23" t="n">
        <v>140355</v>
      </c>
      <c r="J346" t="inlineStr">
        <is>
          <t>Sep</t>
        </is>
      </c>
      <c r="K346" t="n">
        <v>9</v>
      </c>
      <c r="L346" t="inlineStr">
        <is>
          <t>Q3</t>
        </is>
      </c>
      <c r="M346" t="n">
        <v>2024</v>
      </c>
      <c r="N346" s="22" t="n">
        <v>45536</v>
      </c>
      <c r="O346" s="24" t="n">
        <v>0.948701506893235</v>
      </c>
      <c r="P346" s="23" t="n">
        <v>-7200</v>
      </c>
    </row>
    <row r="347">
      <c r="A347" t="inlineStr">
        <is>
          <t>Panadol 250 MG</t>
        </is>
      </c>
      <c r="B347" t="inlineStr">
        <is>
          <t>Sharqia 2</t>
        </is>
      </c>
      <c r="C347" s="22" t="n">
        <v>45566</v>
      </c>
      <c r="D347" t="inlineStr">
        <is>
          <t>Youssef Farouk</t>
        </is>
      </c>
      <c r="E347" t="n">
        <v>45</v>
      </c>
      <c r="F347" t="n">
        <v>3296</v>
      </c>
      <c r="G347" t="n">
        <v>3276</v>
      </c>
      <c r="H347" s="23" t="n">
        <v>148320</v>
      </c>
      <c r="I347" s="23" t="n">
        <v>147420</v>
      </c>
      <c r="J347" t="inlineStr">
        <is>
          <t>Oct</t>
        </is>
      </c>
      <c r="K347" t="n">
        <v>10</v>
      </c>
      <c r="L347" t="inlineStr">
        <is>
          <t>Q4</t>
        </is>
      </c>
      <c r="M347" t="n">
        <v>2024</v>
      </c>
      <c r="N347" s="22" t="n">
        <v>45566</v>
      </c>
      <c r="O347" s="24" t="n">
        <v>1.006105006105006</v>
      </c>
      <c r="P347" s="23" t="n">
        <v>900</v>
      </c>
    </row>
    <row r="348">
      <c r="A348" t="inlineStr">
        <is>
          <t>Panadol 250 MG</t>
        </is>
      </c>
      <c r="B348" t="inlineStr">
        <is>
          <t>Sharqia 2</t>
        </is>
      </c>
      <c r="C348" s="22" t="n">
        <v>45597</v>
      </c>
      <c r="D348" t="inlineStr">
        <is>
          <t>Youssef Farouk</t>
        </is>
      </c>
      <c r="E348" t="n">
        <v>45</v>
      </c>
      <c r="F348" t="n">
        <v>3246</v>
      </c>
      <c r="G348" t="n">
        <v>3159</v>
      </c>
      <c r="H348" s="23" t="n">
        <v>146070</v>
      </c>
      <c r="I348" s="23" t="n">
        <v>142155</v>
      </c>
      <c r="J348" t="inlineStr">
        <is>
          <t>Nov</t>
        </is>
      </c>
      <c r="K348" t="n">
        <v>11</v>
      </c>
      <c r="L348" t="inlineStr">
        <is>
          <t>Q4</t>
        </is>
      </c>
      <c r="M348" t="n">
        <v>2024</v>
      </c>
      <c r="N348" s="22" t="n">
        <v>45597</v>
      </c>
      <c r="O348" s="24" t="n">
        <v>1.027540360873694</v>
      </c>
      <c r="P348" s="23" t="n">
        <v>3915</v>
      </c>
    </row>
    <row r="349">
      <c r="A349" t="inlineStr">
        <is>
          <t>Panadol 250 MG</t>
        </is>
      </c>
      <c r="B349" t="inlineStr">
        <is>
          <t>Sharqia 2</t>
        </is>
      </c>
      <c r="C349" s="22" t="n">
        <v>45627</v>
      </c>
      <c r="D349" t="inlineStr">
        <is>
          <t>Youssef Farouk</t>
        </is>
      </c>
      <c r="E349" t="n">
        <v>45</v>
      </c>
      <c r="F349" t="n">
        <v>2907</v>
      </c>
      <c r="G349" t="n">
        <v>2647</v>
      </c>
      <c r="H349" s="23" t="n">
        <v>130815</v>
      </c>
      <c r="I349" s="23" t="n">
        <v>119115</v>
      </c>
      <c r="J349" t="inlineStr">
        <is>
          <t>Dec</t>
        </is>
      </c>
      <c r="K349" t="n">
        <v>12</v>
      </c>
      <c r="L349" t="inlineStr">
        <is>
          <t>Q4</t>
        </is>
      </c>
      <c r="M349" t="n">
        <v>2024</v>
      </c>
      <c r="N349" s="22" t="n">
        <v>45627</v>
      </c>
      <c r="O349" s="24" t="n">
        <v>1.098224404986778</v>
      </c>
      <c r="P349" s="23" t="n">
        <v>11700</v>
      </c>
    </row>
    <row r="350">
      <c r="A350" t="inlineStr">
        <is>
          <t>Panadol 500 MG</t>
        </is>
      </c>
      <c r="B350" t="inlineStr">
        <is>
          <t>Alexandria 1</t>
        </is>
      </c>
      <c r="C350" s="22" t="n">
        <v>45292</v>
      </c>
      <c r="D350" t="inlineStr">
        <is>
          <t>Ahmed Hassan</t>
        </is>
      </c>
      <c r="E350" t="n">
        <v>75</v>
      </c>
      <c r="F350" t="n">
        <v>3822</v>
      </c>
      <c r="G350" t="n">
        <v>3685</v>
      </c>
      <c r="H350" s="23" t="n">
        <v>286650</v>
      </c>
      <c r="I350" s="23" t="n">
        <v>276375</v>
      </c>
      <c r="J350" t="inlineStr">
        <is>
          <t>Jan</t>
        </is>
      </c>
      <c r="K350" t="n">
        <v>1</v>
      </c>
      <c r="L350" t="inlineStr">
        <is>
          <t>Q1</t>
        </is>
      </c>
      <c r="M350" t="n">
        <v>2024</v>
      </c>
      <c r="N350" s="22" t="n">
        <v>45292</v>
      </c>
      <c r="O350" s="24" t="n">
        <v>1.037177747625509</v>
      </c>
      <c r="P350" s="23" t="n">
        <v>10275</v>
      </c>
    </row>
    <row r="351">
      <c r="A351" t="inlineStr">
        <is>
          <t>Panadol 500 MG</t>
        </is>
      </c>
      <c r="B351" t="inlineStr">
        <is>
          <t>Alexandria 1</t>
        </is>
      </c>
      <c r="C351" s="22" t="n">
        <v>45323</v>
      </c>
      <c r="D351" t="inlineStr">
        <is>
          <t>Ahmed Hassan</t>
        </is>
      </c>
      <c r="E351" t="n">
        <v>75</v>
      </c>
      <c r="F351" t="n">
        <v>3289</v>
      </c>
      <c r="G351" t="n">
        <v>3337</v>
      </c>
      <c r="H351" s="23" t="n">
        <v>246675</v>
      </c>
      <c r="I351" s="23" t="n">
        <v>250275</v>
      </c>
      <c r="J351" t="inlineStr">
        <is>
          <t>Feb</t>
        </is>
      </c>
      <c r="K351" t="n">
        <v>2</v>
      </c>
      <c r="L351" t="inlineStr">
        <is>
          <t>Q1</t>
        </is>
      </c>
      <c r="M351" t="n">
        <v>2024</v>
      </c>
      <c r="N351" s="22" t="n">
        <v>45323</v>
      </c>
      <c r="O351" s="24" t="n">
        <v>0.9856158225951454</v>
      </c>
      <c r="P351" s="23" t="n">
        <v>-3600</v>
      </c>
    </row>
    <row r="352">
      <c r="A352" t="inlineStr">
        <is>
          <t>Panadol 500 MG</t>
        </is>
      </c>
      <c r="B352" t="inlineStr">
        <is>
          <t>Alexandria 1</t>
        </is>
      </c>
      <c r="C352" s="22" t="n">
        <v>45352</v>
      </c>
      <c r="D352" t="inlineStr">
        <is>
          <t>Ahmed Hassan</t>
        </is>
      </c>
      <c r="E352" t="n">
        <v>75</v>
      </c>
      <c r="F352" t="n">
        <v>3613</v>
      </c>
      <c r="G352" t="n">
        <v>3000</v>
      </c>
      <c r="H352" s="23" t="n">
        <v>270975</v>
      </c>
      <c r="I352" s="23" t="n">
        <v>225000</v>
      </c>
      <c r="J352" t="inlineStr">
        <is>
          <t>Mar</t>
        </is>
      </c>
      <c r="K352" t="n">
        <v>3</v>
      </c>
      <c r="L352" t="inlineStr">
        <is>
          <t>Q1</t>
        </is>
      </c>
      <c r="M352" t="n">
        <v>2024</v>
      </c>
      <c r="N352" s="22" t="n">
        <v>45352</v>
      </c>
      <c r="O352" s="24" t="n">
        <v>1.204333333333333</v>
      </c>
      <c r="P352" s="23" t="n">
        <v>45975</v>
      </c>
    </row>
    <row r="353">
      <c r="A353" t="inlineStr">
        <is>
          <t>Panadol 500 MG</t>
        </is>
      </c>
      <c r="B353" t="inlineStr">
        <is>
          <t>Alexandria 1</t>
        </is>
      </c>
      <c r="C353" s="22" t="n">
        <v>45383</v>
      </c>
      <c r="D353" t="inlineStr">
        <is>
          <t>Ahmed Hassan</t>
        </is>
      </c>
      <c r="E353" t="n">
        <v>75</v>
      </c>
      <c r="F353" t="n">
        <v>2121</v>
      </c>
      <c r="G353" t="n">
        <v>2034</v>
      </c>
      <c r="H353" s="23" t="n">
        <v>159075</v>
      </c>
      <c r="I353" s="23" t="n">
        <v>152550</v>
      </c>
      <c r="J353" t="inlineStr">
        <is>
          <t>Apr</t>
        </is>
      </c>
      <c r="K353" t="n">
        <v>4</v>
      </c>
      <c r="L353" t="inlineStr">
        <is>
          <t>Q2</t>
        </is>
      </c>
      <c r="M353" t="n">
        <v>2024</v>
      </c>
      <c r="N353" s="22" t="n">
        <v>45383</v>
      </c>
      <c r="O353" s="24" t="n">
        <v>1.042772861356932</v>
      </c>
      <c r="P353" s="23" t="n">
        <v>6525</v>
      </c>
    </row>
    <row r="354">
      <c r="A354" t="inlineStr">
        <is>
          <t>Panadol 500 MG</t>
        </is>
      </c>
      <c r="B354" t="inlineStr">
        <is>
          <t>Alexandria 1</t>
        </is>
      </c>
      <c r="C354" s="22" t="n">
        <v>45413</v>
      </c>
      <c r="D354" t="inlineStr">
        <is>
          <t>Ahmed Hassan</t>
        </is>
      </c>
      <c r="E354" t="n">
        <v>75</v>
      </c>
      <c r="F354" t="n">
        <v>2764</v>
      </c>
      <c r="G354" t="n">
        <v>2000</v>
      </c>
      <c r="H354" s="23" t="n">
        <v>207300</v>
      </c>
      <c r="I354" s="23" t="n">
        <v>150000</v>
      </c>
      <c r="J354" t="inlineStr">
        <is>
          <t>May</t>
        </is>
      </c>
      <c r="K354" t="n">
        <v>5</v>
      </c>
      <c r="L354" t="inlineStr">
        <is>
          <t>Q2</t>
        </is>
      </c>
      <c r="M354" t="n">
        <v>2024</v>
      </c>
      <c r="N354" s="22" t="n">
        <v>45413</v>
      </c>
      <c r="O354" s="24" t="n">
        <v>1.382</v>
      </c>
      <c r="P354" s="23" t="n">
        <v>57300</v>
      </c>
    </row>
    <row r="355">
      <c r="A355" t="inlineStr">
        <is>
          <t>Panadol 500 MG</t>
        </is>
      </c>
      <c r="B355" t="inlineStr">
        <is>
          <t>Alexandria 1</t>
        </is>
      </c>
      <c r="C355" s="22" t="n">
        <v>45444</v>
      </c>
      <c r="D355" t="inlineStr">
        <is>
          <t>Ahmed Hassan</t>
        </is>
      </c>
      <c r="E355" t="n">
        <v>75</v>
      </c>
      <c r="F355" t="n">
        <v>3366</v>
      </c>
      <c r="G355" t="n">
        <v>3836</v>
      </c>
      <c r="H355" s="23" t="n">
        <v>252450</v>
      </c>
      <c r="I355" s="23" t="n">
        <v>287700</v>
      </c>
      <c r="J355" t="inlineStr">
        <is>
          <t>Jun</t>
        </is>
      </c>
      <c r="K355" t="n">
        <v>6</v>
      </c>
      <c r="L355" t="inlineStr">
        <is>
          <t>Q2</t>
        </is>
      </c>
      <c r="M355" t="n">
        <v>2024</v>
      </c>
      <c r="N355" s="22" t="n">
        <v>45444</v>
      </c>
      <c r="O355" s="24" t="n">
        <v>0.8774765380604796</v>
      </c>
      <c r="P355" s="23" t="n">
        <v>-35250</v>
      </c>
    </row>
    <row r="356">
      <c r="A356" t="inlineStr">
        <is>
          <t>Panadol 500 MG</t>
        </is>
      </c>
      <c r="B356" t="inlineStr">
        <is>
          <t>Alexandria 1</t>
        </is>
      </c>
      <c r="C356" s="22" t="n">
        <v>45474</v>
      </c>
      <c r="D356" t="inlineStr">
        <is>
          <t>Ahmed Hassan</t>
        </is>
      </c>
      <c r="E356" t="n">
        <v>75</v>
      </c>
      <c r="F356" t="n">
        <v>2189</v>
      </c>
      <c r="G356" t="n">
        <v>2200</v>
      </c>
      <c r="H356" s="23" t="n">
        <v>164175</v>
      </c>
      <c r="I356" s="23" t="n">
        <v>165000</v>
      </c>
      <c r="J356" t="inlineStr">
        <is>
          <t>Jul</t>
        </is>
      </c>
      <c r="K356" t="n">
        <v>7</v>
      </c>
      <c r="L356" t="inlineStr">
        <is>
          <t>Q3</t>
        </is>
      </c>
      <c r="M356" t="n">
        <v>2024</v>
      </c>
      <c r="N356" s="22" t="n">
        <v>45474</v>
      </c>
      <c r="O356" s="24" t="n">
        <v>0.995</v>
      </c>
      <c r="P356" s="23" t="n">
        <v>-825</v>
      </c>
    </row>
    <row r="357">
      <c r="A357" t="inlineStr">
        <is>
          <t>Panadol 500 MG</t>
        </is>
      </c>
      <c r="B357" t="inlineStr">
        <is>
          <t>Alexandria 1</t>
        </is>
      </c>
      <c r="C357" s="22" t="n">
        <v>45505</v>
      </c>
      <c r="D357" t="inlineStr">
        <is>
          <t>Ahmed Hassan</t>
        </is>
      </c>
      <c r="E357" t="n">
        <v>75</v>
      </c>
      <c r="F357" t="n">
        <v>2131</v>
      </c>
      <c r="G357" t="n">
        <v>2502</v>
      </c>
      <c r="H357" s="23" t="n">
        <v>159825</v>
      </c>
      <c r="I357" s="23" t="n">
        <v>187650</v>
      </c>
      <c r="J357" t="inlineStr">
        <is>
          <t>Aug</t>
        </is>
      </c>
      <c r="K357" t="n">
        <v>8</v>
      </c>
      <c r="L357" t="inlineStr">
        <is>
          <t>Q3</t>
        </is>
      </c>
      <c r="M357" t="n">
        <v>2024</v>
      </c>
      <c r="N357" s="22" t="n">
        <v>45505</v>
      </c>
      <c r="O357" s="24" t="n">
        <v>0.85171862509992</v>
      </c>
      <c r="P357" s="23" t="n">
        <v>-27825</v>
      </c>
    </row>
    <row r="358">
      <c r="A358" t="inlineStr">
        <is>
          <t>Panadol 500 MG</t>
        </is>
      </c>
      <c r="B358" t="inlineStr">
        <is>
          <t>Alexandria 1</t>
        </is>
      </c>
      <c r="C358" s="22" t="n">
        <v>45536</v>
      </c>
      <c r="D358" t="inlineStr">
        <is>
          <t>Ahmed Hassan</t>
        </is>
      </c>
      <c r="E358" t="n">
        <v>75</v>
      </c>
      <c r="F358" t="n">
        <v>2995</v>
      </c>
      <c r="G358" t="n">
        <v>2748</v>
      </c>
      <c r="H358" s="23" t="n">
        <v>224625</v>
      </c>
      <c r="I358" s="23" t="n">
        <v>206100</v>
      </c>
      <c r="J358" t="inlineStr">
        <is>
          <t>Sep</t>
        </is>
      </c>
      <c r="K358" t="n">
        <v>9</v>
      </c>
      <c r="L358" t="inlineStr">
        <is>
          <t>Q3</t>
        </is>
      </c>
      <c r="M358" t="n">
        <v>2024</v>
      </c>
      <c r="N358" s="22" t="n">
        <v>45536</v>
      </c>
      <c r="O358" s="24" t="n">
        <v>1.089883551673945</v>
      </c>
      <c r="P358" s="23" t="n">
        <v>18525</v>
      </c>
    </row>
    <row r="359">
      <c r="A359" t="inlineStr">
        <is>
          <t>Panadol 500 MG</t>
        </is>
      </c>
      <c r="B359" t="inlineStr">
        <is>
          <t>Alexandria 1</t>
        </is>
      </c>
      <c r="C359" s="22" t="n">
        <v>45566</v>
      </c>
      <c r="D359" t="inlineStr">
        <is>
          <t>Ahmed Hassan</t>
        </is>
      </c>
      <c r="E359" t="n">
        <v>75</v>
      </c>
      <c r="F359" t="n">
        <v>3500</v>
      </c>
      <c r="G359" t="n">
        <v>3125</v>
      </c>
      <c r="H359" s="23" t="n">
        <v>262500</v>
      </c>
      <c r="I359" s="23" t="n">
        <v>234375</v>
      </c>
      <c r="J359" t="inlineStr">
        <is>
          <t>Oct</t>
        </is>
      </c>
      <c r="K359" t="n">
        <v>10</v>
      </c>
      <c r="L359" t="inlineStr">
        <is>
          <t>Q4</t>
        </is>
      </c>
      <c r="M359" t="n">
        <v>2024</v>
      </c>
      <c r="N359" s="22" t="n">
        <v>45566</v>
      </c>
      <c r="O359" s="24" t="n">
        <v>1.12</v>
      </c>
      <c r="P359" s="23" t="n">
        <v>28125</v>
      </c>
    </row>
    <row r="360">
      <c r="A360" t="inlineStr">
        <is>
          <t>Panadol 500 MG</t>
        </is>
      </c>
      <c r="B360" t="inlineStr">
        <is>
          <t>Alexandria 1</t>
        </is>
      </c>
      <c r="C360" s="22" t="n">
        <v>45597</v>
      </c>
      <c r="D360" t="inlineStr">
        <is>
          <t>Ahmed Hassan</t>
        </is>
      </c>
      <c r="E360" t="n">
        <v>75</v>
      </c>
      <c r="F360" t="n">
        <v>2995</v>
      </c>
      <c r="G360" t="n">
        <v>3248</v>
      </c>
      <c r="H360" s="23" t="n">
        <v>224625</v>
      </c>
      <c r="I360" s="23" t="n">
        <v>243600</v>
      </c>
      <c r="J360" t="inlineStr">
        <is>
          <t>Nov</t>
        </is>
      </c>
      <c r="K360" t="n">
        <v>11</v>
      </c>
      <c r="L360" t="inlineStr">
        <is>
          <t>Q4</t>
        </is>
      </c>
      <c r="M360" t="n">
        <v>2024</v>
      </c>
      <c r="N360" s="22" t="n">
        <v>45597</v>
      </c>
      <c r="O360" s="24" t="n">
        <v>0.9221059113300493</v>
      </c>
      <c r="P360" s="23" t="n">
        <v>-18975</v>
      </c>
    </row>
    <row r="361">
      <c r="A361" t="inlineStr">
        <is>
          <t>Panadol 500 MG</t>
        </is>
      </c>
      <c r="B361" t="inlineStr">
        <is>
          <t>Alexandria 1</t>
        </is>
      </c>
      <c r="C361" s="22" t="n">
        <v>45627</v>
      </c>
      <c r="D361" t="inlineStr">
        <is>
          <t>Ahmed Hassan</t>
        </is>
      </c>
      <c r="E361" t="n">
        <v>75</v>
      </c>
      <c r="F361" t="n">
        <v>3327</v>
      </c>
      <c r="G361" t="n">
        <v>3648</v>
      </c>
      <c r="H361" s="23" t="n">
        <v>249525</v>
      </c>
      <c r="I361" s="23" t="n">
        <v>273600</v>
      </c>
      <c r="J361" t="inlineStr">
        <is>
          <t>Dec</t>
        </is>
      </c>
      <c r="K361" t="n">
        <v>12</v>
      </c>
      <c r="L361" t="inlineStr">
        <is>
          <t>Q4</t>
        </is>
      </c>
      <c r="M361" t="n">
        <v>2024</v>
      </c>
      <c r="N361" s="22" t="n">
        <v>45627</v>
      </c>
      <c r="O361" s="24" t="n">
        <v>0.9120065789473685</v>
      </c>
      <c r="P361" s="23" t="n">
        <v>-24075</v>
      </c>
    </row>
    <row r="362">
      <c r="A362" t="inlineStr">
        <is>
          <t>Panadol 500 MG</t>
        </is>
      </c>
      <c r="B362" t="inlineStr">
        <is>
          <t>Alexandria 2</t>
        </is>
      </c>
      <c r="C362" s="22" t="n">
        <v>45292</v>
      </c>
      <c r="D362" t="inlineStr">
        <is>
          <t>Amira Mostafa</t>
        </is>
      </c>
      <c r="E362" t="n">
        <v>75</v>
      </c>
      <c r="F362" t="n">
        <v>2773</v>
      </c>
      <c r="G362" t="n">
        <v>3038</v>
      </c>
      <c r="H362" s="23" t="n">
        <v>207975</v>
      </c>
      <c r="I362" s="23" t="n">
        <v>227850</v>
      </c>
      <c r="J362" t="inlineStr">
        <is>
          <t>Jan</t>
        </is>
      </c>
      <c r="K362" t="n">
        <v>1</v>
      </c>
      <c r="L362" t="inlineStr">
        <is>
          <t>Q1</t>
        </is>
      </c>
      <c r="M362" t="n">
        <v>2024</v>
      </c>
      <c r="N362" s="22" t="n">
        <v>45292</v>
      </c>
      <c r="O362" s="24" t="n">
        <v>0.912771560236998</v>
      </c>
      <c r="P362" s="23" t="n">
        <v>-19875</v>
      </c>
    </row>
    <row r="363">
      <c r="A363" t="inlineStr">
        <is>
          <t>Panadol 500 MG</t>
        </is>
      </c>
      <c r="B363" t="inlineStr">
        <is>
          <t>Alexandria 2</t>
        </is>
      </c>
      <c r="C363" s="22" t="n">
        <v>45323</v>
      </c>
      <c r="D363" t="inlineStr">
        <is>
          <t>Amira Mostafa</t>
        </is>
      </c>
      <c r="E363" t="n">
        <v>75</v>
      </c>
      <c r="F363" t="n">
        <v>3013</v>
      </c>
      <c r="G363" t="n">
        <v>2864</v>
      </c>
      <c r="H363" s="23" t="n">
        <v>225975</v>
      </c>
      <c r="I363" s="23" t="n">
        <v>214800</v>
      </c>
      <c r="J363" t="inlineStr">
        <is>
          <t>Feb</t>
        </is>
      </c>
      <c r="K363" t="n">
        <v>2</v>
      </c>
      <c r="L363" t="inlineStr">
        <is>
          <t>Q1</t>
        </is>
      </c>
      <c r="M363" t="n">
        <v>2024</v>
      </c>
      <c r="N363" s="22" t="n">
        <v>45323</v>
      </c>
      <c r="O363" s="24" t="n">
        <v>1.052025139664804</v>
      </c>
      <c r="P363" s="23" t="n">
        <v>11175</v>
      </c>
    </row>
    <row r="364">
      <c r="A364" t="inlineStr">
        <is>
          <t>Panadol 500 MG</t>
        </is>
      </c>
      <c r="B364" t="inlineStr">
        <is>
          <t>Alexandria 2</t>
        </is>
      </c>
      <c r="C364" s="22" t="n">
        <v>45352</v>
      </c>
      <c r="D364" t="inlineStr">
        <is>
          <t>Amira Mostafa</t>
        </is>
      </c>
      <c r="E364" t="n">
        <v>75</v>
      </c>
      <c r="F364" t="n">
        <v>3472</v>
      </c>
      <c r="G364" t="n">
        <v>3125</v>
      </c>
      <c r="H364" s="23" t="n">
        <v>260400</v>
      </c>
      <c r="I364" s="23" t="n">
        <v>234375</v>
      </c>
      <c r="J364" t="inlineStr">
        <is>
          <t>Mar</t>
        </is>
      </c>
      <c r="K364" t="n">
        <v>3</v>
      </c>
      <c r="L364" t="inlineStr">
        <is>
          <t>Q1</t>
        </is>
      </c>
      <c r="M364" t="n">
        <v>2024</v>
      </c>
      <c r="N364" s="22" t="n">
        <v>45352</v>
      </c>
      <c r="O364" s="24" t="n">
        <v>1.11104</v>
      </c>
      <c r="P364" s="23" t="n">
        <v>26025</v>
      </c>
    </row>
    <row r="365">
      <c r="A365" t="inlineStr">
        <is>
          <t>Panadol 500 MG</t>
        </is>
      </c>
      <c r="B365" t="inlineStr">
        <is>
          <t>Alexandria 2</t>
        </is>
      </c>
      <c r="C365" s="22" t="n">
        <v>45383</v>
      </c>
      <c r="D365" t="inlineStr">
        <is>
          <t>Amira Mostafa</t>
        </is>
      </c>
      <c r="E365" t="n">
        <v>75</v>
      </c>
      <c r="F365" t="n">
        <v>2927</v>
      </c>
      <c r="G365" t="n">
        <v>2984</v>
      </c>
      <c r="H365" s="23" t="n">
        <v>219525</v>
      </c>
      <c r="I365" s="23" t="n">
        <v>223800</v>
      </c>
      <c r="J365" t="inlineStr">
        <is>
          <t>Apr</t>
        </is>
      </c>
      <c r="K365" t="n">
        <v>4</v>
      </c>
      <c r="L365" t="inlineStr">
        <is>
          <t>Q2</t>
        </is>
      </c>
      <c r="M365" t="n">
        <v>2024</v>
      </c>
      <c r="N365" s="22" t="n">
        <v>45383</v>
      </c>
      <c r="O365" s="24" t="n">
        <v>0.9808981233243967</v>
      </c>
      <c r="P365" s="23" t="n">
        <v>-4275</v>
      </c>
    </row>
    <row r="366">
      <c r="A366" t="inlineStr">
        <is>
          <t>Panadol 500 MG</t>
        </is>
      </c>
      <c r="B366" t="inlineStr">
        <is>
          <t>Alexandria 2</t>
        </is>
      </c>
      <c r="C366" s="22" t="n">
        <v>45413</v>
      </c>
      <c r="D366" t="inlineStr">
        <is>
          <t>Amira Mostafa</t>
        </is>
      </c>
      <c r="E366" t="n">
        <v>75</v>
      </c>
      <c r="F366" t="n">
        <v>3100</v>
      </c>
      <c r="G366" t="n">
        <v>3485</v>
      </c>
      <c r="H366" s="23" t="n">
        <v>232500</v>
      </c>
      <c r="I366" s="23" t="n">
        <v>261375</v>
      </c>
      <c r="J366" t="inlineStr">
        <is>
          <t>May</t>
        </is>
      </c>
      <c r="K366" t="n">
        <v>5</v>
      </c>
      <c r="L366" t="inlineStr">
        <is>
          <t>Q2</t>
        </is>
      </c>
      <c r="M366" t="n">
        <v>2024</v>
      </c>
      <c r="N366" s="22" t="n">
        <v>45413</v>
      </c>
      <c r="O366" s="24" t="n">
        <v>0.8895265423242468</v>
      </c>
      <c r="P366" s="23" t="n">
        <v>-28875</v>
      </c>
    </row>
    <row r="367">
      <c r="A367" t="inlineStr">
        <is>
          <t>Panadol 500 MG</t>
        </is>
      </c>
      <c r="B367" t="inlineStr">
        <is>
          <t>Alexandria 2</t>
        </is>
      </c>
      <c r="C367" s="22" t="n">
        <v>45444</v>
      </c>
      <c r="D367" t="inlineStr">
        <is>
          <t>Amira Mostafa</t>
        </is>
      </c>
      <c r="E367" t="n">
        <v>75</v>
      </c>
      <c r="F367" t="n">
        <v>2957</v>
      </c>
      <c r="G367" t="n">
        <v>2968</v>
      </c>
      <c r="H367" s="23" t="n">
        <v>221775</v>
      </c>
      <c r="I367" s="23" t="n">
        <v>222600</v>
      </c>
      <c r="J367" t="inlineStr">
        <is>
          <t>Jun</t>
        </is>
      </c>
      <c r="K367" t="n">
        <v>6</v>
      </c>
      <c r="L367" t="inlineStr">
        <is>
          <t>Q2</t>
        </is>
      </c>
      <c r="M367" t="n">
        <v>2024</v>
      </c>
      <c r="N367" s="22" t="n">
        <v>45444</v>
      </c>
      <c r="O367" s="24" t="n">
        <v>0.9962938005390836</v>
      </c>
      <c r="P367" s="23" t="n">
        <v>-825</v>
      </c>
    </row>
    <row r="368">
      <c r="A368" t="inlineStr">
        <is>
          <t>Panadol 500 MG</t>
        </is>
      </c>
      <c r="B368" t="inlineStr">
        <is>
          <t>Alexandria 2</t>
        </is>
      </c>
      <c r="C368" s="22" t="n">
        <v>45474</v>
      </c>
      <c r="D368" t="inlineStr">
        <is>
          <t>Amira Mostafa</t>
        </is>
      </c>
      <c r="E368" t="n">
        <v>75</v>
      </c>
      <c r="F368" t="n">
        <v>2979</v>
      </c>
      <c r="G368" t="n">
        <v>2954</v>
      </c>
      <c r="H368" s="23" t="n">
        <v>223425</v>
      </c>
      <c r="I368" s="23" t="n">
        <v>221550</v>
      </c>
      <c r="J368" t="inlineStr">
        <is>
          <t>Jul</t>
        </is>
      </c>
      <c r="K368" t="n">
        <v>7</v>
      </c>
      <c r="L368" t="inlineStr">
        <is>
          <t>Q3</t>
        </is>
      </c>
      <c r="M368" t="n">
        <v>2024</v>
      </c>
      <c r="N368" s="22" t="n">
        <v>45474</v>
      </c>
      <c r="O368" s="24" t="n">
        <v>1.008463100880163</v>
      </c>
      <c r="P368" s="23" t="n">
        <v>1875</v>
      </c>
    </row>
    <row r="369">
      <c r="A369" t="inlineStr">
        <is>
          <t>Panadol 500 MG</t>
        </is>
      </c>
      <c r="B369" t="inlineStr">
        <is>
          <t>Alexandria 2</t>
        </is>
      </c>
      <c r="C369" s="22" t="n">
        <v>45505</v>
      </c>
      <c r="D369" t="inlineStr">
        <is>
          <t>Amira Mostafa</t>
        </is>
      </c>
      <c r="E369" t="n">
        <v>75</v>
      </c>
      <c r="F369" t="n">
        <v>3099</v>
      </c>
      <c r="G369" t="n">
        <v>3107</v>
      </c>
      <c r="H369" s="23" t="n">
        <v>232425</v>
      </c>
      <c r="I369" s="23" t="n">
        <v>233025</v>
      </c>
      <c r="J369" t="inlineStr">
        <is>
          <t>Aug</t>
        </is>
      </c>
      <c r="K369" t="n">
        <v>8</v>
      </c>
      <c r="L369" t="inlineStr">
        <is>
          <t>Q3</t>
        </is>
      </c>
      <c r="M369" t="n">
        <v>2024</v>
      </c>
      <c r="N369" s="22" t="n">
        <v>45505</v>
      </c>
      <c r="O369" s="24" t="n">
        <v>0.9974251689732861</v>
      </c>
      <c r="P369" s="23" t="n">
        <v>-600</v>
      </c>
    </row>
    <row r="370">
      <c r="A370" t="inlineStr">
        <is>
          <t>Panadol 500 MG</t>
        </is>
      </c>
      <c r="B370" t="inlineStr">
        <is>
          <t>Alexandria 2</t>
        </is>
      </c>
      <c r="C370" s="22" t="n">
        <v>45536</v>
      </c>
      <c r="D370" t="inlineStr">
        <is>
          <t>Amira Mostafa</t>
        </is>
      </c>
      <c r="E370" t="n">
        <v>75</v>
      </c>
      <c r="F370" t="n">
        <v>2934</v>
      </c>
      <c r="G370" t="n">
        <v>3328</v>
      </c>
      <c r="H370" s="23" t="n">
        <v>220050</v>
      </c>
      <c r="I370" s="23" t="n">
        <v>249600</v>
      </c>
      <c r="J370" t="inlineStr">
        <is>
          <t>Sep</t>
        </is>
      </c>
      <c r="K370" t="n">
        <v>9</v>
      </c>
      <c r="L370" t="inlineStr">
        <is>
          <t>Q3</t>
        </is>
      </c>
      <c r="M370" t="n">
        <v>2024</v>
      </c>
      <c r="N370" s="22" t="n">
        <v>45536</v>
      </c>
      <c r="O370" s="24" t="n">
        <v>0.8816105769230769</v>
      </c>
      <c r="P370" s="23" t="n">
        <v>-29550</v>
      </c>
    </row>
    <row r="371">
      <c r="A371" t="inlineStr">
        <is>
          <t>Panadol 500 MG</t>
        </is>
      </c>
      <c r="B371" t="inlineStr">
        <is>
          <t>Alexandria 2</t>
        </is>
      </c>
      <c r="C371" s="22" t="n">
        <v>45566</v>
      </c>
      <c r="D371" t="inlineStr">
        <is>
          <t>Amira Mostafa</t>
        </is>
      </c>
      <c r="E371" t="n">
        <v>75</v>
      </c>
      <c r="F371" t="n">
        <v>2866</v>
      </c>
      <c r="G371" t="n">
        <v>2924</v>
      </c>
      <c r="H371" s="23" t="n">
        <v>214950</v>
      </c>
      <c r="I371" s="23" t="n">
        <v>219300</v>
      </c>
      <c r="J371" t="inlineStr">
        <is>
          <t>Oct</t>
        </is>
      </c>
      <c r="K371" t="n">
        <v>10</v>
      </c>
      <c r="L371" t="inlineStr">
        <is>
          <t>Q4</t>
        </is>
      </c>
      <c r="M371" t="n">
        <v>2024</v>
      </c>
      <c r="N371" s="22" t="n">
        <v>45566</v>
      </c>
      <c r="O371" s="24" t="n">
        <v>0.9801641586867305</v>
      </c>
      <c r="P371" s="23" t="n">
        <v>-4350</v>
      </c>
    </row>
    <row r="372">
      <c r="A372" t="inlineStr">
        <is>
          <t>Panadol 500 MG</t>
        </is>
      </c>
      <c r="B372" t="inlineStr">
        <is>
          <t>Alexandria 2</t>
        </is>
      </c>
      <c r="C372" s="22" t="n">
        <v>45597</v>
      </c>
      <c r="D372" t="inlineStr">
        <is>
          <t>Amira Mostafa</t>
        </is>
      </c>
      <c r="E372" t="n">
        <v>75</v>
      </c>
      <c r="F372" t="n">
        <v>3167</v>
      </c>
      <c r="G372" t="n">
        <v>3077</v>
      </c>
      <c r="H372" s="23" t="n">
        <v>237525</v>
      </c>
      <c r="I372" s="23" t="n">
        <v>230775</v>
      </c>
      <c r="J372" t="inlineStr">
        <is>
          <t>Nov</t>
        </is>
      </c>
      <c r="K372" t="n">
        <v>11</v>
      </c>
      <c r="L372" t="inlineStr">
        <is>
          <t>Q4</t>
        </is>
      </c>
      <c r="M372" t="n">
        <v>2024</v>
      </c>
      <c r="N372" s="22" t="n">
        <v>45597</v>
      </c>
      <c r="O372" s="24" t="n">
        <v>1.029249268768281</v>
      </c>
      <c r="P372" s="23" t="n">
        <v>6750</v>
      </c>
    </row>
    <row r="373">
      <c r="A373" t="inlineStr">
        <is>
          <t>Panadol 500 MG</t>
        </is>
      </c>
      <c r="B373" t="inlineStr">
        <is>
          <t>Alexandria 2</t>
        </is>
      </c>
      <c r="C373" s="22" t="n">
        <v>45627</v>
      </c>
      <c r="D373" t="inlineStr">
        <is>
          <t>Amira Mostafa</t>
        </is>
      </c>
      <c r="E373" t="n">
        <v>75</v>
      </c>
      <c r="F373" t="n">
        <v>2941</v>
      </c>
      <c r="G373" t="n">
        <v>2909</v>
      </c>
      <c r="H373" s="23" t="n">
        <v>220575</v>
      </c>
      <c r="I373" s="23" t="n">
        <v>218175</v>
      </c>
      <c r="J373" t="inlineStr">
        <is>
          <t>Dec</t>
        </is>
      </c>
      <c r="K373" t="n">
        <v>12</v>
      </c>
      <c r="L373" t="inlineStr">
        <is>
          <t>Q4</t>
        </is>
      </c>
      <c r="M373" t="n">
        <v>2024</v>
      </c>
      <c r="N373" s="22" t="n">
        <v>45627</v>
      </c>
      <c r="O373" s="24" t="n">
        <v>1.011000343760742</v>
      </c>
      <c r="P373" s="23" t="n">
        <v>2400</v>
      </c>
    </row>
    <row r="374">
      <c r="A374" t="inlineStr">
        <is>
          <t>Panadol 500 MG</t>
        </is>
      </c>
      <c r="B374" t="inlineStr">
        <is>
          <t>Cairo 1</t>
        </is>
      </c>
      <c r="C374" s="22" t="n">
        <v>45292</v>
      </c>
      <c r="D374" t="inlineStr">
        <is>
          <t>Fatma Ali</t>
        </is>
      </c>
      <c r="E374" t="n">
        <v>75</v>
      </c>
      <c r="F374" t="n">
        <v>2572</v>
      </c>
      <c r="G374" t="n">
        <v>2426</v>
      </c>
      <c r="H374" s="23" t="n">
        <v>192900</v>
      </c>
      <c r="I374" s="23" t="n">
        <v>181950</v>
      </c>
      <c r="J374" t="inlineStr">
        <is>
          <t>Jan</t>
        </is>
      </c>
      <c r="K374" t="n">
        <v>1</v>
      </c>
      <c r="L374" t="inlineStr">
        <is>
          <t>Q1</t>
        </is>
      </c>
      <c r="M374" t="n">
        <v>2024</v>
      </c>
      <c r="N374" s="22" t="n">
        <v>45292</v>
      </c>
      <c r="O374" s="24" t="n">
        <v>1.060181368507832</v>
      </c>
      <c r="P374" s="23" t="n">
        <v>10950</v>
      </c>
    </row>
    <row r="375">
      <c r="A375" t="inlineStr">
        <is>
          <t>Panadol 500 MG</t>
        </is>
      </c>
      <c r="B375" t="inlineStr">
        <is>
          <t>Cairo 1</t>
        </is>
      </c>
      <c r="C375" s="22" t="n">
        <v>45323</v>
      </c>
      <c r="D375" t="inlineStr">
        <is>
          <t>Fatma Ali</t>
        </is>
      </c>
      <c r="E375" t="n">
        <v>75</v>
      </c>
      <c r="F375" t="n">
        <v>3118</v>
      </c>
      <c r="G375" t="n">
        <v>3007</v>
      </c>
      <c r="H375" s="23" t="n">
        <v>233850</v>
      </c>
      <c r="I375" s="23" t="n">
        <v>225525</v>
      </c>
      <c r="J375" t="inlineStr">
        <is>
          <t>Feb</t>
        </is>
      </c>
      <c r="K375" t="n">
        <v>2</v>
      </c>
      <c r="L375" t="inlineStr">
        <is>
          <t>Q1</t>
        </is>
      </c>
      <c r="M375" t="n">
        <v>2024</v>
      </c>
      <c r="N375" s="22" t="n">
        <v>45323</v>
      </c>
      <c r="O375" s="24" t="n">
        <v>1.036913867642168</v>
      </c>
      <c r="P375" s="23" t="n">
        <v>8325</v>
      </c>
    </row>
    <row r="376">
      <c r="A376" t="inlineStr">
        <is>
          <t>Panadol 500 MG</t>
        </is>
      </c>
      <c r="B376" t="inlineStr">
        <is>
          <t>Cairo 1</t>
        </is>
      </c>
      <c r="C376" s="22" t="n">
        <v>45352</v>
      </c>
      <c r="D376" t="inlineStr">
        <is>
          <t>Fatma Ali</t>
        </is>
      </c>
      <c r="E376" t="n">
        <v>75</v>
      </c>
      <c r="F376" t="n">
        <v>3438</v>
      </c>
      <c r="G376" t="n">
        <v>3131</v>
      </c>
      <c r="H376" s="23" t="n">
        <v>257850</v>
      </c>
      <c r="I376" s="23" t="n">
        <v>234825</v>
      </c>
      <c r="J376" t="inlineStr">
        <is>
          <t>Mar</t>
        </is>
      </c>
      <c r="K376" t="n">
        <v>3</v>
      </c>
      <c r="L376" t="inlineStr">
        <is>
          <t>Q1</t>
        </is>
      </c>
      <c r="M376" t="n">
        <v>2024</v>
      </c>
      <c r="N376" s="22" t="n">
        <v>45352</v>
      </c>
      <c r="O376" s="24" t="n">
        <v>1.098051740657937</v>
      </c>
      <c r="P376" s="23" t="n">
        <v>23025</v>
      </c>
    </row>
    <row r="377">
      <c r="A377" t="inlineStr">
        <is>
          <t>Panadol 500 MG</t>
        </is>
      </c>
      <c r="B377" t="inlineStr">
        <is>
          <t>Cairo 1</t>
        </is>
      </c>
      <c r="C377" s="22" t="n">
        <v>45383</v>
      </c>
      <c r="D377" t="inlineStr">
        <is>
          <t>Fatma Ali</t>
        </is>
      </c>
      <c r="E377" t="n">
        <v>75</v>
      </c>
      <c r="F377" t="n">
        <v>2907</v>
      </c>
      <c r="G377" t="n">
        <v>2890</v>
      </c>
      <c r="H377" s="23" t="n">
        <v>218025</v>
      </c>
      <c r="I377" s="23" t="n">
        <v>216750</v>
      </c>
      <c r="J377" t="inlineStr">
        <is>
          <t>Apr</t>
        </is>
      </c>
      <c r="K377" t="n">
        <v>4</v>
      </c>
      <c r="L377" t="inlineStr">
        <is>
          <t>Q2</t>
        </is>
      </c>
      <c r="M377" t="n">
        <v>2024</v>
      </c>
      <c r="N377" s="22" t="n">
        <v>45383</v>
      </c>
      <c r="O377" s="24" t="n">
        <v>1.005882352941176</v>
      </c>
      <c r="P377" s="23" t="n">
        <v>1275</v>
      </c>
    </row>
    <row r="378">
      <c r="A378" t="inlineStr">
        <is>
          <t>Panadol 500 MG</t>
        </is>
      </c>
      <c r="B378" t="inlineStr">
        <is>
          <t>Cairo 1</t>
        </is>
      </c>
      <c r="C378" s="22" t="n">
        <v>45413</v>
      </c>
      <c r="D378" t="inlineStr">
        <is>
          <t>Fatma Ali</t>
        </is>
      </c>
      <c r="E378" t="n">
        <v>75</v>
      </c>
      <c r="F378" t="n">
        <v>3477</v>
      </c>
      <c r="G378" t="n">
        <v>3603</v>
      </c>
      <c r="H378" s="23" t="n">
        <v>260775</v>
      </c>
      <c r="I378" s="23" t="n">
        <v>270225</v>
      </c>
      <c r="J378" t="inlineStr">
        <is>
          <t>May</t>
        </is>
      </c>
      <c r="K378" t="n">
        <v>5</v>
      </c>
      <c r="L378" t="inlineStr">
        <is>
          <t>Q2</t>
        </is>
      </c>
      <c r="M378" t="n">
        <v>2024</v>
      </c>
      <c r="N378" s="22" t="n">
        <v>45413</v>
      </c>
      <c r="O378" s="24" t="n">
        <v>0.9650291423813488</v>
      </c>
      <c r="P378" s="23" t="n">
        <v>-9450</v>
      </c>
    </row>
    <row r="379">
      <c r="A379" t="inlineStr">
        <is>
          <t>Panadol 500 MG</t>
        </is>
      </c>
      <c r="B379" t="inlineStr">
        <is>
          <t>Cairo 1</t>
        </is>
      </c>
      <c r="C379" s="22" t="n">
        <v>45444</v>
      </c>
      <c r="D379" t="inlineStr">
        <is>
          <t>Fatma Ali</t>
        </is>
      </c>
      <c r="E379" t="n">
        <v>75</v>
      </c>
      <c r="F379" t="n">
        <v>2384</v>
      </c>
      <c r="G379" t="n">
        <v>2661</v>
      </c>
      <c r="H379" s="23" t="n">
        <v>178800</v>
      </c>
      <c r="I379" s="23" t="n">
        <v>199575</v>
      </c>
      <c r="J379" t="inlineStr">
        <is>
          <t>Jun</t>
        </is>
      </c>
      <c r="K379" t="n">
        <v>6</v>
      </c>
      <c r="L379" t="inlineStr">
        <is>
          <t>Q2</t>
        </is>
      </c>
      <c r="M379" t="n">
        <v>2024</v>
      </c>
      <c r="N379" s="22" t="n">
        <v>45444</v>
      </c>
      <c r="O379" s="24" t="n">
        <v>0.8959037955655769</v>
      </c>
      <c r="P379" s="23" t="n">
        <v>-20775</v>
      </c>
    </row>
    <row r="380">
      <c r="A380" t="inlineStr">
        <is>
          <t>Panadol 500 MG</t>
        </is>
      </c>
      <c r="B380" t="inlineStr">
        <is>
          <t>Cairo 1</t>
        </is>
      </c>
      <c r="C380" s="22" t="n">
        <v>45474</v>
      </c>
      <c r="D380" t="inlineStr">
        <is>
          <t>Fatma Ali</t>
        </is>
      </c>
      <c r="E380" t="n">
        <v>75</v>
      </c>
      <c r="F380" t="n">
        <v>2981</v>
      </c>
      <c r="G380" t="n">
        <v>3397</v>
      </c>
      <c r="H380" s="23" t="n">
        <v>223575</v>
      </c>
      <c r="I380" s="23" t="n">
        <v>254775</v>
      </c>
      <c r="J380" t="inlineStr">
        <is>
          <t>Jul</t>
        </is>
      </c>
      <c r="K380" t="n">
        <v>7</v>
      </c>
      <c r="L380" t="inlineStr">
        <is>
          <t>Q3</t>
        </is>
      </c>
      <c r="M380" t="n">
        <v>2024</v>
      </c>
      <c r="N380" s="22" t="n">
        <v>45474</v>
      </c>
      <c r="O380" s="24" t="n">
        <v>0.8775390050044156</v>
      </c>
      <c r="P380" s="23" t="n">
        <v>-31200</v>
      </c>
    </row>
    <row r="381">
      <c r="A381" t="inlineStr">
        <is>
          <t>Panadol 500 MG</t>
        </is>
      </c>
      <c r="B381" t="inlineStr">
        <is>
          <t>Cairo 1</t>
        </is>
      </c>
      <c r="C381" s="22" t="n">
        <v>45505</v>
      </c>
      <c r="D381" t="inlineStr">
        <is>
          <t>Fatma Ali</t>
        </is>
      </c>
      <c r="E381" t="n">
        <v>75</v>
      </c>
      <c r="F381" t="n">
        <v>2005</v>
      </c>
      <c r="G381" t="n">
        <v>2072</v>
      </c>
      <c r="H381" s="23" t="n">
        <v>150375</v>
      </c>
      <c r="I381" s="23" t="n">
        <v>155400</v>
      </c>
      <c r="J381" t="inlineStr">
        <is>
          <t>Aug</t>
        </is>
      </c>
      <c r="K381" t="n">
        <v>8</v>
      </c>
      <c r="L381" t="inlineStr">
        <is>
          <t>Q3</t>
        </is>
      </c>
      <c r="M381" t="n">
        <v>2024</v>
      </c>
      <c r="N381" s="22" t="n">
        <v>45505</v>
      </c>
      <c r="O381" s="24" t="n">
        <v>0.9676640926640927</v>
      </c>
      <c r="P381" s="23" t="n">
        <v>-5025</v>
      </c>
    </row>
    <row r="382">
      <c r="A382" t="inlineStr">
        <is>
          <t>Panadol 500 MG</t>
        </is>
      </c>
      <c r="B382" t="inlineStr">
        <is>
          <t>Cairo 1</t>
        </is>
      </c>
      <c r="C382" s="22" t="n">
        <v>45536</v>
      </c>
      <c r="D382" t="inlineStr">
        <is>
          <t>Fatma Ali</t>
        </is>
      </c>
      <c r="E382" t="n">
        <v>75</v>
      </c>
      <c r="F382" t="n">
        <v>2456</v>
      </c>
      <c r="G382" t="n">
        <v>2380</v>
      </c>
      <c r="H382" s="23" t="n">
        <v>184200</v>
      </c>
      <c r="I382" s="23" t="n">
        <v>178500</v>
      </c>
      <c r="J382" t="inlineStr">
        <is>
          <t>Sep</t>
        </is>
      </c>
      <c r="K382" t="n">
        <v>9</v>
      </c>
      <c r="L382" t="inlineStr">
        <is>
          <t>Q3</t>
        </is>
      </c>
      <c r="M382" t="n">
        <v>2024</v>
      </c>
      <c r="N382" s="22" t="n">
        <v>45536</v>
      </c>
      <c r="O382" s="24" t="n">
        <v>1.031932773109244</v>
      </c>
      <c r="P382" s="23" t="n">
        <v>5700</v>
      </c>
    </row>
    <row r="383">
      <c r="A383" t="inlineStr">
        <is>
          <t>Panadol 500 MG</t>
        </is>
      </c>
      <c r="B383" t="inlineStr">
        <is>
          <t>Cairo 1</t>
        </is>
      </c>
      <c r="C383" s="22" t="n">
        <v>45566</v>
      </c>
      <c r="D383" t="inlineStr">
        <is>
          <t>Fatma Ali</t>
        </is>
      </c>
      <c r="E383" t="n">
        <v>75</v>
      </c>
      <c r="F383" t="n">
        <v>2854</v>
      </c>
      <c r="G383" t="n">
        <v>3326</v>
      </c>
      <c r="H383" s="23" t="n">
        <v>214050</v>
      </c>
      <c r="I383" s="23" t="n">
        <v>249450</v>
      </c>
      <c r="J383" t="inlineStr">
        <is>
          <t>Oct</t>
        </is>
      </c>
      <c r="K383" t="n">
        <v>10</v>
      </c>
      <c r="L383" t="inlineStr">
        <is>
          <t>Q4</t>
        </is>
      </c>
      <c r="M383" t="n">
        <v>2024</v>
      </c>
      <c r="N383" s="22" t="n">
        <v>45566</v>
      </c>
      <c r="O383" s="24" t="n">
        <v>0.8580877931449188</v>
      </c>
      <c r="P383" s="23" t="n">
        <v>-35400</v>
      </c>
    </row>
    <row r="384">
      <c r="A384" t="inlineStr">
        <is>
          <t>Panadol 500 MG</t>
        </is>
      </c>
      <c r="B384" t="inlineStr">
        <is>
          <t>Cairo 1</t>
        </is>
      </c>
      <c r="C384" s="22" t="n">
        <v>45597</v>
      </c>
      <c r="D384" t="inlineStr">
        <is>
          <t>Fatma Ali</t>
        </is>
      </c>
      <c r="E384" t="n">
        <v>75</v>
      </c>
      <c r="F384" t="n">
        <v>3093</v>
      </c>
      <c r="G384" t="n">
        <v>3540</v>
      </c>
      <c r="H384" s="23" t="n">
        <v>231975</v>
      </c>
      <c r="I384" s="23" t="n">
        <v>265500</v>
      </c>
      <c r="J384" t="inlineStr">
        <is>
          <t>Nov</t>
        </is>
      </c>
      <c r="K384" t="n">
        <v>11</v>
      </c>
      <c r="L384" t="inlineStr">
        <is>
          <t>Q4</t>
        </is>
      </c>
      <c r="M384" t="n">
        <v>2024</v>
      </c>
      <c r="N384" s="22" t="n">
        <v>45597</v>
      </c>
      <c r="O384" s="24" t="n">
        <v>0.8737288135593221</v>
      </c>
      <c r="P384" s="23" t="n">
        <v>-33525</v>
      </c>
    </row>
    <row r="385">
      <c r="A385" t="inlineStr">
        <is>
          <t>Panadol 500 MG</t>
        </is>
      </c>
      <c r="B385" t="inlineStr">
        <is>
          <t>Cairo 1</t>
        </is>
      </c>
      <c r="C385" s="22" t="n">
        <v>45627</v>
      </c>
      <c r="D385" t="inlineStr">
        <is>
          <t>Fatma Ali</t>
        </is>
      </c>
      <c r="E385" t="n">
        <v>75</v>
      </c>
      <c r="F385" t="n">
        <v>2624</v>
      </c>
      <c r="G385" t="n">
        <v>2480</v>
      </c>
      <c r="H385" s="23" t="n">
        <v>196800</v>
      </c>
      <c r="I385" s="23" t="n">
        <v>186000</v>
      </c>
      <c r="J385" t="inlineStr">
        <is>
          <t>Dec</t>
        </is>
      </c>
      <c r="K385" t="n">
        <v>12</v>
      </c>
      <c r="L385" t="inlineStr">
        <is>
          <t>Q4</t>
        </is>
      </c>
      <c r="M385" t="n">
        <v>2024</v>
      </c>
      <c r="N385" s="22" t="n">
        <v>45627</v>
      </c>
      <c r="O385" s="24" t="n">
        <v>1.058064516129032</v>
      </c>
      <c r="P385" s="23" t="n">
        <v>10800</v>
      </c>
    </row>
    <row r="386">
      <c r="A386" t="inlineStr">
        <is>
          <t>Panadol 500 MG</t>
        </is>
      </c>
      <c r="B386" t="inlineStr">
        <is>
          <t>Cairo 2</t>
        </is>
      </c>
      <c r="C386" s="22" t="n">
        <v>45292</v>
      </c>
      <c r="D386" t="inlineStr">
        <is>
          <t>Hassan El-Shamy</t>
        </is>
      </c>
      <c r="E386" t="n">
        <v>75</v>
      </c>
      <c r="F386" t="n">
        <v>2271</v>
      </c>
      <c r="G386" t="n">
        <v>2532</v>
      </c>
      <c r="H386" s="23" t="n">
        <v>170325</v>
      </c>
      <c r="I386" s="23" t="n">
        <v>189900</v>
      </c>
      <c r="J386" t="inlineStr">
        <is>
          <t>Jan</t>
        </is>
      </c>
      <c r="K386" t="n">
        <v>1</v>
      </c>
      <c r="L386" t="inlineStr">
        <is>
          <t>Q1</t>
        </is>
      </c>
      <c r="M386" t="n">
        <v>2024</v>
      </c>
      <c r="N386" s="22" t="n">
        <v>45292</v>
      </c>
      <c r="O386" s="24" t="n">
        <v>0.8969194312796208</v>
      </c>
      <c r="P386" s="23" t="n">
        <v>-19575</v>
      </c>
    </row>
    <row r="387">
      <c r="A387" t="inlineStr">
        <is>
          <t>Panadol 500 MG</t>
        </is>
      </c>
      <c r="B387" t="inlineStr">
        <is>
          <t>Cairo 2</t>
        </is>
      </c>
      <c r="C387" s="22" t="n">
        <v>45323</v>
      </c>
      <c r="D387" t="inlineStr">
        <is>
          <t>Hassan El-Shamy</t>
        </is>
      </c>
      <c r="E387" t="n">
        <v>75</v>
      </c>
      <c r="F387" t="n">
        <v>3447</v>
      </c>
      <c r="G387" t="n">
        <v>3607</v>
      </c>
      <c r="H387" s="23" t="n">
        <v>258525</v>
      </c>
      <c r="I387" s="23" t="n">
        <v>270525</v>
      </c>
      <c r="J387" t="inlineStr">
        <is>
          <t>Feb</t>
        </is>
      </c>
      <c r="K387" t="n">
        <v>2</v>
      </c>
      <c r="L387" t="inlineStr">
        <is>
          <t>Q1</t>
        </is>
      </c>
      <c r="M387" t="n">
        <v>2024</v>
      </c>
      <c r="N387" s="22" t="n">
        <v>45323</v>
      </c>
      <c r="O387" s="24" t="n">
        <v>0.9556418075963404</v>
      </c>
      <c r="P387" s="23" t="n">
        <v>-12000</v>
      </c>
    </row>
    <row r="388">
      <c r="A388" t="inlineStr">
        <is>
          <t>Panadol 500 MG</t>
        </is>
      </c>
      <c r="B388" t="inlineStr">
        <is>
          <t>Cairo 2</t>
        </is>
      </c>
      <c r="C388" s="22" t="n">
        <v>45352</v>
      </c>
      <c r="D388" t="inlineStr">
        <is>
          <t>Hassan El-Shamy</t>
        </is>
      </c>
      <c r="E388" t="n">
        <v>75</v>
      </c>
      <c r="F388" t="n">
        <v>3511</v>
      </c>
      <c r="G388" t="n">
        <v>3314</v>
      </c>
      <c r="H388" s="23" t="n">
        <v>263325</v>
      </c>
      <c r="I388" s="23" t="n">
        <v>248550</v>
      </c>
      <c r="J388" t="inlineStr">
        <is>
          <t>Mar</t>
        </is>
      </c>
      <c r="K388" t="n">
        <v>3</v>
      </c>
      <c r="L388" t="inlineStr">
        <is>
          <t>Q1</t>
        </is>
      </c>
      <c r="M388" t="n">
        <v>2024</v>
      </c>
      <c r="N388" s="22" t="n">
        <v>45352</v>
      </c>
      <c r="O388" s="24" t="n">
        <v>1.05944477972239</v>
      </c>
      <c r="P388" s="23" t="n">
        <v>14775</v>
      </c>
    </row>
    <row r="389">
      <c r="A389" t="inlineStr">
        <is>
          <t>Panadol 500 MG</t>
        </is>
      </c>
      <c r="B389" t="inlineStr">
        <is>
          <t>Cairo 2</t>
        </is>
      </c>
      <c r="C389" s="22" t="n">
        <v>45383</v>
      </c>
      <c r="D389" t="inlineStr">
        <is>
          <t>Hassan El-Shamy</t>
        </is>
      </c>
      <c r="E389" t="n">
        <v>75</v>
      </c>
      <c r="F389" t="n">
        <v>2397</v>
      </c>
      <c r="G389" t="n">
        <v>2617</v>
      </c>
      <c r="H389" s="23" t="n">
        <v>179775</v>
      </c>
      <c r="I389" s="23" t="n">
        <v>196275</v>
      </c>
      <c r="J389" t="inlineStr">
        <is>
          <t>Apr</t>
        </is>
      </c>
      <c r="K389" t="n">
        <v>4</v>
      </c>
      <c r="L389" t="inlineStr">
        <is>
          <t>Q2</t>
        </is>
      </c>
      <c r="M389" t="n">
        <v>2024</v>
      </c>
      <c r="N389" s="22" t="n">
        <v>45383</v>
      </c>
      <c r="O389" s="24" t="n">
        <v>0.9159342758884219</v>
      </c>
      <c r="P389" s="23" t="n">
        <v>-16500</v>
      </c>
    </row>
    <row r="390">
      <c r="A390" t="inlineStr">
        <is>
          <t>Panadol 500 MG</t>
        </is>
      </c>
      <c r="B390" t="inlineStr">
        <is>
          <t>Cairo 2</t>
        </is>
      </c>
      <c r="C390" s="22" t="n">
        <v>45413</v>
      </c>
      <c r="D390" t="inlineStr">
        <is>
          <t>Hassan El-Shamy</t>
        </is>
      </c>
      <c r="E390" t="n">
        <v>75</v>
      </c>
      <c r="F390" t="n">
        <v>3237</v>
      </c>
      <c r="G390" t="n">
        <v>3356</v>
      </c>
      <c r="H390" s="23" t="n">
        <v>242775</v>
      </c>
      <c r="I390" s="23" t="n">
        <v>251700</v>
      </c>
      <c r="J390" t="inlineStr">
        <is>
          <t>May</t>
        </is>
      </c>
      <c r="K390" t="n">
        <v>5</v>
      </c>
      <c r="L390" t="inlineStr">
        <is>
          <t>Q2</t>
        </is>
      </c>
      <c r="M390" t="n">
        <v>2024</v>
      </c>
      <c r="N390" s="22" t="n">
        <v>45413</v>
      </c>
      <c r="O390" s="24" t="n">
        <v>0.9645411203814065</v>
      </c>
      <c r="P390" s="23" t="n">
        <v>-8925</v>
      </c>
    </row>
    <row r="391">
      <c r="A391" t="inlineStr">
        <is>
          <t>Panadol 500 MG</t>
        </is>
      </c>
      <c r="B391" t="inlineStr">
        <is>
          <t>Cairo 2</t>
        </is>
      </c>
      <c r="C391" s="22" t="n">
        <v>45444</v>
      </c>
      <c r="D391" t="inlineStr">
        <is>
          <t>Hassan El-Shamy</t>
        </is>
      </c>
      <c r="E391" t="n">
        <v>75</v>
      </c>
      <c r="F391" t="n">
        <v>2716</v>
      </c>
      <c r="G391" t="n">
        <v>2858</v>
      </c>
      <c r="H391" s="23" t="n">
        <v>203700</v>
      </c>
      <c r="I391" s="23" t="n">
        <v>214350</v>
      </c>
      <c r="J391" t="inlineStr">
        <is>
          <t>Jun</t>
        </is>
      </c>
      <c r="K391" t="n">
        <v>6</v>
      </c>
      <c r="L391" t="inlineStr">
        <is>
          <t>Q2</t>
        </is>
      </c>
      <c r="M391" t="n">
        <v>2024</v>
      </c>
      <c r="N391" s="22" t="n">
        <v>45444</v>
      </c>
      <c r="O391" s="24" t="n">
        <v>0.9503149055283415</v>
      </c>
      <c r="P391" s="23" t="n">
        <v>-10650</v>
      </c>
    </row>
    <row r="392">
      <c r="A392" t="inlineStr">
        <is>
          <t>Panadol 500 MG</t>
        </is>
      </c>
      <c r="B392" t="inlineStr">
        <is>
          <t>Cairo 2</t>
        </is>
      </c>
      <c r="C392" s="22" t="n">
        <v>45474</v>
      </c>
      <c r="D392" t="inlineStr">
        <is>
          <t>Hassan El-Shamy</t>
        </is>
      </c>
      <c r="E392" t="n">
        <v>75</v>
      </c>
      <c r="F392" t="n">
        <v>3271</v>
      </c>
      <c r="G392" t="n">
        <v>3136</v>
      </c>
      <c r="H392" s="23" t="n">
        <v>245325</v>
      </c>
      <c r="I392" s="23" t="n">
        <v>235200</v>
      </c>
      <c r="J392" t="inlineStr">
        <is>
          <t>Jul</t>
        </is>
      </c>
      <c r="K392" t="n">
        <v>7</v>
      </c>
      <c r="L392" t="inlineStr">
        <is>
          <t>Q3</t>
        </is>
      </c>
      <c r="M392" t="n">
        <v>2024</v>
      </c>
      <c r="N392" s="22" t="n">
        <v>45474</v>
      </c>
      <c r="O392" s="24" t="n">
        <v>1.043048469387755</v>
      </c>
      <c r="P392" s="23" t="n">
        <v>10125</v>
      </c>
    </row>
    <row r="393">
      <c r="A393" t="inlineStr">
        <is>
          <t>Panadol 500 MG</t>
        </is>
      </c>
      <c r="B393" t="inlineStr">
        <is>
          <t>Cairo 2</t>
        </is>
      </c>
      <c r="C393" s="22" t="n">
        <v>45505</v>
      </c>
      <c r="D393" t="inlineStr">
        <is>
          <t>Hassan El-Shamy</t>
        </is>
      </c>
      <c r="E393" t="n">
        <v>75</v>
      </c>
      <c r="F393" t="n">
        <v>3699</v>
      </c>
      <c r="G393" t="n">
        <v>3563</v>
      </c>
      <c r="H393" s="23" t="n">
        <v>277425</v>
      </c>
      <c r="I393" s="23" t="n">
        <v>267225</v>
      </c>
      <c r="J393" t="inlineStr">
        <is>
          <t>Aug</t>
        </is>
      </c>
      <c r="K393" t="n">
        <v>8</v>
      </c>
      <c r="L393" t="inlineStr">
        <is>
          <t>Q3</t>
        </is>
      </c>
      <c r="M393" t="n">
        <v>2024</v>
      </c>
      <c r="N393" s="22" t="n">
        <v>45505</v>
      </c>
      <c r="O393" s="24" t="n">
        <v>1.038170081392085</v>
      </c>
      <c r="P393" s="23" t="n">
        <v>10200</v>
      </c>
    </row>
    <row r="394">
      <c r="A394" t="inlineStr">
        <is>
          <t>Panadol 500 MG</t>
        </is>
      </c>
      <c r="B394" t="inlineStr">
        <is>
          <t>Cairo 2</t>
        </is>
      </c>
      <c r="C394" s="22" t="n">
        <v>45536</v>
      </c>
      <c r="D394" t="inlineStr">
        <is>
          <t>Hassan El-Shamy</t>
        </is>
      </c>
      <c r="E394" t="n">
        <v>75</v>
      </c>
      <c r="F394" t="n">
        <v>3116</v>
      </c>
      <c r="G394" t="n">
        <v>3236</v>
      </c>
      <c r="H394" s="23" t="n">
        <v>233700</v>
      </c>
      <c r="I394" s="23" t="n">
        <v>242700</v>
      </c>
      <c r="J394" t="inlineStr">
        <is>
          <t>Sep</t>
        </is>
      </c>
      <c r="K394" t="n">
        <v>9</v>
      </c>
      <c r="L394" t="inlineStr">
        <is>
          <t>Q3</t>
        </is>
      </c>
      <c r="M394" t="n">
        <v>2024</v>
      </c>
      <c r="N394" s="22" t="n">
        <v>45536</v>
      </c>
      <c r="O394" s="24" t="n">
        <v>0.9629171817058096</v>
      </c>
      <c r="P394" s="23" t="n">
        <v>-9000</v>
      </c>
    </row>
    <row r="395">
      <c r="A395" t="inlineStr">
        <is>
          <t>Panadol 500 MG</t>
        </is>
      </c>
      <c r="B395" t="inlineStr">
        <is>
          <t>Cairo 2</t>
        </is>
      </c>
      <c r="C395" s="22" t="n">
        <v>45566</v>
      </c>
      <c r="D395" t="inlineStr">
        <is>
          <t>Hassan El-Shamy</t>
        </is>
      </c>
      <c r="E395" t="n">
        <v>75</v>
      </c>
      <c r="F395" t="n">
        <v>3307</v>
      </c>
      <c r="G395" t="n">
        <v>3889</v>
      </c>
      <c r="H395" s="23" t="n">
        <v>248025</v>
      </c>
      <c r="I395" s="23" t="n">
        <v>291675</v>
      </c>
      <c r="J395" t="inlineStr">
        <is>
          <t>Oct</t>
        </is>
      </c>
      <c r="K395" t="n">
        <v>10</v>
      </c>
      <c r="L395" t="inlineStr">
        <is>
          <t>Q4</t>
        </is>
      </c>
      <c r="M395" t="n">
        <v>2024</v>
      </c>
      <c r="N395" s="22" t="n">
        <v>45566</v>
      </c>
      <c r="O395" s="24" t="n">
        <v>0.8503471329390588</v>
      </c>
      <c r="P395" s="23" t="n">
        <v>-43650</v>
      </c>
    </row>
    <row r="396">
      <c r="A396" t="inlineStr">
        <is>
          <t>Panadol 500 MG</t>
        </is>
      </c>
      <c r="B396" t="inlineStr">
        <is>
          <t>Cairo 2</t>
        </is>
      </c>
      <c r="C396" s="22" t="n">
        <v>45597</v>
      </c>
      <c r="D396" t="inlineStr">
        <is>
          <t>Hassan El-Shamy</t>
        </is>
      </c>
      <c r="E396" t="n">
        <v>75</v>
      </c>
      <c r="F396" t="n">
        <v>1834</v>
      </c>
      <c r="G396" t="n">
        <v>2006</v>
      </c>
      <c r="H396" s="23" t="n">
        <v>137550</v>
      </c>
      <c r="I396" s="23" t="n">
        <v>150450</v>
      </c>
      <c r="J396" t="inlineStr">
        <is>
          <t>Nov</t>
        </is>
      </c>
      <c r="K396" t="n">
        <v>11</v>
      </c>
      <c r="L396" t="inlineStr">
        <is>
          <t>Q4</t>
        </is>
      </c>
      <c r="M396" t="n">
        <v>2024</v>
      </c>
      <c r="N396" s="22" t="n">
        <v>45597</v>
      </c>
      <c r="O396" s="24" t="n">
        <v>0.9142572283150548</v>
      </c>
      <c r="P396" s="23" t="n">
        <v>-12900</v>
      </c>
    </row>
    <row r="397">
      <c r="A397" t="inlineStr">
        <is>
          <t>Panadol 500 MG</t>
        </is>
      </c>
      <c r="B397" t="inlineStr">
        <is>
          <t>Cairo 2</t>
        </is>
      </c>
      <c r="C397" s="22" t="n">
        <v>45627</v>
      </c>
      <c r="D397" t="inlineStr">
        <is>
          <t>Hassan El-Shamy</t>
        </is>
      </c>
      <c r="E397" t="n">
        <v>75</v>
      </c>
      <c r="F397" t="n">
        <v>2907</v>
      </c>
      <c r="G397" t="n">
        <v>3415</v>
      </c>
      <c r="H397" s="23" t="n">
        <v>218025</v>
      </c>
      <c r="I397" s="23" t="n">
        <v>256125</v>
      </c>
      <c r="J397" t="inlineStr">
        <is>
          <t>Dec</t>
        </is>
      </c>
      <c r="K397" t="n">
        <v>12</v>
      </c>
      <c r="L397" t="inlineStr">
        <is>
          <t>Q4</t>
        </is>
      </c>
      <c r="M397" t="n">
        <v>2024</v>
      </c>
      <c r="N397" s="22" t="n">
        <v>45627</v>
      </c>
      <c r="O397" s="24" t="n">
        <v>0.8512445095168375</v>
      </c>
      <c r="P397" s="23" t="n">
        <v>-38100</v>
      </c>
    </row>
    <row r="398">
      <c r="A398" t="inlineStr">
        <is>
          <t>Panadol 500 MG</t>
        </is>
      </c>
      <c r="B398" t="inlineStr">
        <is>
          <t>Suez</t>
        </is>
      </c>
      <c r="C398" s="22" t="n">
        <v>45292</v>
      </c>
      <c r="D398" t="inlineStr">
        <is>
          <t>Mohamed Mahmoud</t>
        </is>
      </c>
      <c r="E398" t="n">
        <v>75</v>
      </c>
      <c r="F398" t="n">
        <v>3322</v>
      </c>
      <c r="G398" t="n">
        <v>3325</v>
      </c>
      <c r="H398" s="23" t="n">
        <v>249150</v>
      </c>
      <c r="I398" s="23" t="n">
        <v>249375</v>
      </c>
      <c r="J398" t="inlineStr">
        <is>
          <t>Jan</t>
        </is>
      </c>
      <c r="K398" t="n">
        <v>1</v>
      </c>
      <c r="L398" t="inlineStr">
        <is>
          <t>Q1</t>
        </is>
      </c>
      <c r="M398" t="n">
        <v>2024</v>
      </c>
      <c r="N398" s="22" t="n">
        <v>45292</v>
      </c>
      <c r="O398" s="24" t="n">
        <v>0.9990977443609023</v>
      </c>
      <c r="P398" s="23" t="n">
        <v>-225</v>
      </c>
    </row>
    <row r="399">
      <c r="A399" t="inlineStr">
        <is>
          <t>Panadol 500 MG</t>
        </is>
      </c>
      <c r="B399" t="inlineStr">
        <is>
          <t>Suez</t>
        </is>
      </c>
      <c r="C399" s="22" t="n">
        <v>45323</v>
      </c>
      <c r="D399" t="inlineStr">
        <is>
          <t>Mohamed Mahmoud</t>
        </is>
      </c>
      <c r="E399" t="n">
        <v>75</v>
      </c>
      <c r="F399" t="n">
        <v>2053</v>
      </c>
      <c r="G399" t="n">
        <v>2191</v>
      </c>
      <c r="H399" s="23" t="n">
        <v>153975</v>
      </c>
      <c r="I399" s="23" t="n">
        <v>164325</v>
      </c>
      <c r="J399" t="inlineStr">
        <is>
          <t>Feb</t>
        </is>
      </c>
      <c r="K399" t="n">
        <v>2</v>
      </c>
      <c r="L399" t="inlineStr">
        <is>
          <t>Q1</t>
        </is>
      </c>
      <c r="M399" t="n">
        <v>2024</v>
      </c>
      <c r="N399" s="22" t="n">
        <v>45323</v>
      </c>
      <c r="O399" s="24" t="n">
        <v>0.9370150616157006</v>
      </c>
      <c r="P399" s="23" t="n">
        <v>-10350</v>
      </c>
    </row>
    <row r="400">
      <c r="A400" t="inlineStr">
        <is>
          <t>Panadol 500 MG</t>
        </is>
      </c>
      <c r="B400" t="inlineStr">
        <is>
          <t>Suez</t>
        </is>
      </c>
      <c r="C400" s="22" t="n">
        <v>45352</v>
      </c>
      <c r="D400" t="inlineStr">
        <is>
          <t>Mohamed Mahmoud</t>
        </is>
      </c>
      <c r="E400" t="n">
        <v>75</v>
      </c>
      <c r="F400" t="n">
        <v>3857</v>
      </c>
      <c r="G400" t="n">
        <v>3884</v>
      </c>
      <c r="H400" s="23" t="n">
        <v>289275</v>
      </c>
      <c r="I400" s="23" t="n">
        <v>291300</v>
      </c>
      <c r="J400" t="inlineStr">
        <is>
          <t>Mar</t>
        </is>
      </c>
      <c r="K400" t="n">
        <v>3</v>
      </c>
      <c r="L400" t="inlineStr">
        <is>
          <t>Q1</t>
        </is>
      </c>
      <c r="M400" t="n">
        <v>2024</v>
      </c>
      <c r="N400" s="22" t="n">
        <v>45352</v>
      </c>
      <c r="O400" s="24" t="n">
        <v>0.993048403707518</v>
      </c>
      <c r="P400" s="23" t="n">
        <v>-2025</v>
      </c>
    </row>
    <row r="401">
      <c r="A401" t="inlineStr">
        <is>
          <t>Panadol 500 MG</t>
        </is>
      </c>
      <c r="B401" t="inlineStr">
        <is>
          <t>Suez</t>
        </is>
      </c>
      <c r="C401" s="22" t="n">
        <v>45383</v>
      </c>
      <c r="D401" t="inlineStr">
        <is>
          <t>Mohamed Mahmoud</t>
        </is>
      </c>
      <c r="E401" t="n">
        <v>75</v>
      </c>
      <c r="F401" t="n">
        <v>2828</v>
      </c>
      <c r="G401" t="n">
        <v>2892</v>
      </c>
      <c r="H401" s="23" t="n">
        <v>212100</v>
      </c>
      <c r="I401" s="23" t="n">
        <v>216900</v>
      </c>
      <c r="J401" t="inlineStr">
        <is>
          <t>Apr</t>
        </is>
      </c>
      <c r="K401" t="n">
        <v>4</v>
      </c>
      <c r="L401" t="inlineStr">
        <is>
          <t>Q2</t>
        </is>
      </c>
      <c r="M401" t="n">
        <v>2024</v>
      </c>
      <c r="N401" s="22" t="n">
        <v>45383</v>
      </c>
      <c r="O401" s="24" t="n">
        <v>0.9778699861687413</v>
      </c>
      <c r="P401" s="23" t="n">
        <v>-4800</v>
      </c>
    </row>
    <row r="402">
      <c r="A402" t="inlineStr">
        <is>
          <t>Panadol 500 MG</t>
        </is>
      </c>
      <c r="B402" t="inlineStr">
        <is>
          <t>Suez</t>
        </is>
      </c>
      <c r="C402" s="22" t="n">
        <v>45413</v>
      </c>
      <c r="D402" t="inlineStr">
        <is>
          <t>Mohamed Mahmoud</t>
        </is>
      </c>
      <c r="E402" t="n">
        <v>75</v>
      </c>
      <c r="F402" t="n">
        <v>2176</v>
      </c>
      <c r="G402" t="n">
        <v>2384</v>
      </c>
      <c r="H402" s="23" t="n">
        <v>163200</v>
      </c>
      <c r="I402" s="23" t="n">
        <v>178800</v>
      </c>
      <c r="J402" t="inlineStr">
        <is>
          <t>May</t>
        </is>
      </c>
      <c r="K402" t="n">
        <v>5</v>
      </c>
      <c r="L402" t="inlineStr">
        <is>
          <t>Q2</t>
        </is>
      </c>
      <c r="M402" t="n">
        <v>2024</v>
      </c>
      <c r="N402" s="22" t="n">
        <v>45413</v>
      </c>
      <c r="O402" s="24" t="n">
        <v>0.912751677852349</v>
      </c>
      <c r="P402" s="23" t="n">
        <v>-15600</v>
      </c>
    </row>
    <row r="403">
      <c r="A403" t="inlineStr">
        <is>
          <t>Panadol 500 MG</t>
        </is>
      </c>
      <c r="B403" t="inlineStr">
        <is>
          <t>Suez</t>
        </is>
      </c>
      <c r="C403" s="22" t="n">
        <v>45444</v>
      </c>
      <c r="D403" t="inlineStr">
        <is>
          <t>Mohamed Mahmoud</t>
        </is>
      </c>
      <c r="E403" t="n">
        <v>75</v>
      </c>
      <c r="F403" t="n">
        <v>2137</v>
      </c>
      <c r="G403" t="n">
        <v>2165</v>
      </c>
      <c r="H403" s="23" t="n">
        <v>160275</v>
      </c>
      <c r="I403" s="23" t="n">
        <v>162375</v>
      </c>
      <c r="J403" t="inlineStr">
        <is>
          <t>Jun</t>
        </is>
      </c>
      <c r="K403" t="n">
        <v>6</v>
      </c>
      <c r="L403" t="inlineStr">
        <is>
          <t>Q2</t>
        </is>
      </c>
      <c r="M403" t="n">
        <v>2024</v>
      </c>
      <c r="N403" s="22" t="n">
        <v>45444</v>
      </c>
      <c r="O403" s="24" t="n">
        <v>0.9870669745958429</v>
      </c>
      <c r="P403" s="23" t="n">
        <v>-2100</v>
      </c>
    </row>
    <row r="404">
      <c r="A404" t="inlineStr">
        <is>
          <t>Panadol 500 MG</t>
        </is>
      </c>
      <c r="B404" t="inlineStr">
        <is>
          <t>Suez</t>
        </is>
      </c>
      <c r="C404" s="22" t="n">
        <v>45474</v>
      </c>
      <c r="D404" t="inlineStr">
        <is>
          <t>Mohamed Mahmoud</t>
        </is>
      </c>
      <c r="E404" t="n">
        <v>75</v>
      </c>
      <c r="F404" t="n">
        <v>1720</v>
      </c>
      <c r="G404" t="n">
        <v>2005</v>
      </c>
      <c r="H404" s="23" t="n">
        <v>129000</v>
      </c>
      <c r="I404" s="23" t="n">
        <v>150375</v>
      </c>
      <c r="J404" t="inlineStr">
        <is>
          <t>Jul</t>
        </is>
      </c>
      <c r="K404" t="n">
        <v>7</v>
      </c>
      <c r="L404" t="inlineStr">
        <is>
          <t>Q3</t>
        </is>
      </c>
      <c r="M404" t="n">
        <v>2024</v>
      </c>
      <c r="N404" s="22" t="n">
        <v>45474</v>
      </c>
      <c r="O404" s="24" t="n">
        <v>0.8578553615960099</v>
      </c>
      <c r="P404" s="23" t="n">
        <v>-21375</v>
      </c>
    </row>
    <row r="405">
      <c r="A405" t="inlineStr">
        <is>
          <t>Panadol 500 MG</t>
        </is>
      </c>
      <c r="B405" t="inlineStr">
        <is>
          <t>Suez</t>
        </is>
      </c>
      <c r="C405" s="22" t="n">
        <v>45505</v>
      </c>
      <c r="D405" t="inlineStr">
        <is>
          <t>Mohamed Mahmoud</t>
        </is>
      </c>
      <c r="E405" t="n">
        <v>75</v>
      </c>
      <c r="F405" t="n">
        <v>2201</v>
      </c>
      <c r="G405" t="n">
        <v>2525</v>
      </c>
      <c r="H405" s="23" t="n">
        <v>165075</v>
      </c>
      <c r="I405" s="23" t="n">
        <v>189375</v>
      </c>
      <c r="J405" t="inlineStr">
        <is>
          <t>Aug</t>
        </is>
      </c>
      <c r="K405" t="n">
        <v>8</v>
      </c>
      <c r="L405" t="inlineStr">
        <is>
          <t>Q3</t>
        </is>
      </c>
      <c r="M405" t="n">
        <v>2024</v>
      </c>
      <c r="N405" s="22" t="n">
        <v>45505</v>
      </c>
      <c r="O405" s="24" t="n">
        <v>0.8716831683168317</v>
      </c>
      <c r="P405" s="23" t="n">
        <v>-24300</v>
      </c>
    </row>
    <row r="406">
      <c r="A406" t="inlineStr">
        <is>
          <t>Panadol 500 MG</t>
        </is>
      </c>
      <c r="B406" t="inlineStr">
        <is>
          <t>Suez</t>
        </is>
      </c>
      <c r="C406" s="22" t="n">
        <v>45536</v>
      </c>
      <c r="D406" t="inlineStr">
        <is>
          <t>Mohamed Mahmoud</t>
        </is>
      </c>
      <c r="E406" t="n">
        <v>75</v>
      </c>
      <c r="F406" t="n">
        <v>1743</v>
      </c>
      <c r="G406" t="n">
        <v>2043</v>
      </c>
      <c r="H406" s="23" t="n">
        <v>130725</v>
      </c>
      <c r="I406" s="23" t="n">
        <v>153225</v>
      </c>
      <c r="J406" t="inlineStr">
        <is>
          <t>Sep</t>
        </is>
      </c>
      <c r="K406" t="n">
        <v>9</v>
      </c>
      <c r="L406" t="inlineStr">
        <is>
          <t>Q3</t>
        </is>
      </c>
      <c r="M406" t="n">
        <v>2024</v>
      </c>
      <c r="N406" s="22" t="n">
        <v>45536</v>
      </c>
      <c r="O406" s="24" t="n">
        <v>0.8531571218795888</v>
      </c>
      <c r="P406" s="23" t="n">
        <v>-22500</v>
      </c>
    </row>
    <row r="407">
      <c r="A407" t="inlineStr">
        <is>
          <t>Panadol 500 MG</t>
        </is>
      </c>
      <c r="B407" t="inlineStr">
        <is>
          <t>Suez</t>
        </is>
      </c>
      <c r="C407" s="22" t="n">
        <v>45566</v>
      </c>
      <c r="D407" t="inlineStr">
        <is>
          <t>Mohamed Mahmoud</t>
        </is>
      </c>
      <c r="E407" t="n">
        <v>75</v>
      </c>
      <c r="F407" t="n">
        <v>3500</v>
      </c>
      <c r="G407" t="n">
        <v>3859</v>
      </c>
      <c r="H407" s="23" t="n">
        <v>262500</v>
      </c>
      <c r="I407" s="23" t="n">
        <v>289425</v>
      </c>
      <c r="J407" t="inlineStr">
        <is>
          <t>Oct</t>
        </is>
      </c>
      <c r="K407" t="n">
        <v>10</v>
      </c>
      <c r="L407" t="inlineStr">
        <is>
          <t>Q4</t>
        </is>
      </c>
      <c r="M407" t="n">
        <v>2024</v>
      </c>
      <c r="N407" s="22" t="n">
        <v>45566</v>
      </c>
      <c r="O407" s="24" t="n">
        <v>0.9069707178025396</v>
      </c>
      <c r="P407" s="23" t="n">
        <v>-26925</v>
      </c>
    </row>
    <row r="408">
      <c r="A408" t="inlineStr">
        <is>
          <t>Panadol 500 MG</t>
        </is>
      </c>
      <c r="B408" t="inlineStr">
        <is>
          <t>Suez</t>
        </is>
      </c>
      <c r="C408" s="22" t="n">
        <v>45597</v>
      </c>
      <c r="D408" t="inlineStr">
        <is>
          <t>Mohamed Mahmoud</t>
        </is>
      </c>
      <c r="E408" t="n">
        <v>75</v>
      </c>
      <c r="F408" t="n">
        <v>3182</v>
      </c>
      <c r="G408" t="n">
        <v>3510</v>
      </c>
      <c r="H408" s="23" t="n">
        <v>238650</v>
      </c>
      <c r="I408" s="23" t="n">
        <v>263250</v>
      </c>
      <c r="J408" t="inlineStr">
        <is>
          <t>Nov</t>
        </is>
      </c>
      <c r="K408" t="n">
        <v>11</v>
      </c>
      <c r="L408" t="inlineStr">
        <is>
          <t>Q4</t>
        </is>
      </c>
      <c r="M408" t="n">
        <v>2024</v>
      </c>
      <c r="N408" s="22" t="n">
        <v>45597</v>
      </c>
      <c r="O408" s="24" t="n">
        <v>0.9065527065527066</v>
      </c>
      <c r="P408" s="23" t="n">
        <v>-24600</v>
      </c>
    </row>
    <row r="409">
      <c r="A409" t="inlineStr">
        <is>
          <t>Panadol 500 MG</t>
        </is>
      </c>
      <c r="B409" t="inlineStr">
        <is>
          <t>Suez</t>
        </is>
      </c>
      <c r="C409" s="22" t="n">
        <v>45627</v>
      </c>
      <c r="D409" t="inlineStr">
        <is>
          <t>Mohamed Mahmoud</t>
        </is>
      </c>
      <c r="E409" t="n">
        <v>75</v>
      </c>
      <c r="F409" t="n">
        <v>2797</v>
      </c>
      <c r="G409" t="n">
        <v>2571</v>
      </c>
      <c r="H409" s="23" t="n">
        <v>209775</v>
      </c>
      <c r="I409" s="23" t="n">
        <v>192825</v>
      </c>
      <c r="J409" t="inlineStr">
        <is>
          <t>Dec</t>
        </is>
      </c>
      <c r="K409" t="n">
        <v>12</v>
      </c>
      <c r="L409" t="inlineStr">
        <is>
          <t>Q4</t>
        </is>
      </c>
      <c r="M409" t="n">
        <v>2024</v>
      </c>
      <c r="N409" s="22" t="n">
        <v>45627</v>
      </c>
      <c r="O409" s="24" t="n">
        <v>1.087903539478802</v>
      </c>
      <c r="P409" s="23" t="n">
        <v>16950</v>
      </c>
    </row>
    <row r="410">
      <c r="A410" t="inlineStr">
        <is>
          <t>Panadol 500 MG</t>
        </is>
      </c>
      <c r="B410" t="inlineStr">
        <is>
          <t>Dakahlia 1</t>
        </is>
      </c>
      <c r="C410" s="22" t="n">
        <v>45292</v>
      </c>
      <c r="D410" t="inlineStr">
        <is>
          <t>Nour El-Din</t>
        </is>
      </c>
      <c r="E410" t="n">
        <v>75</v>
      </c>
      <c r="F410" t="n">
        <v>2289</v>
      </c>
      <c r="G410" t="n">
        <v>2344</v>
      </c>
      <c r="H410" s="23" t="n">
        <v>171675</v>
      </c>
      <c r="I410" s="23" t="n">
        <v>175800</v>
      </c>
      <c r="J410" t="inlineStr">
        <is>
          <t>Jan</t>
        </is>
      </c>
      <c r="K410" t="n">
        <v>1</v>
      </c>
      <c r="L410" t="inlineStr">
        <is>
          <t>Q1</t>
        </is>
      </c>
      <c r="M410" t="n">
        <v>2024</v>
      </c>
      <c r="N410" s="22" t="n">
        <v>45292</v>
      </c>
      <c r="O410" s="24" t="n">
        <v>0.9765358361774744</v>
      </c>
      <c r="P410" s="23" t="n">
        <v>-4125</v>
      </c>
    </row>
    <row r="411">
      <c r="A411" t="inlineStr">
        <is>
          <t>Panadol 500 MG</t>
        </is>
      </c>
      <c r="B411" t="inlineStr">
        <is>
          <t>Dakahlia 1</t>
        </is>
      </c>
      <c r="C411" s="22" t="n">
        <v>45323</v>
      </c>
      <c r="D411" t="inlineStr">
        <is>
          <t>Nour El-Din</t>
        </is>
      </c>
      <c r="E411" t="n">
        <v>75</v>
      </c>
      <c r="F411" t="n">
        <v>2128</v>
      </c>
      <c r="G411" t="n">
        <v>2044</v>
      </c>
      <c r="H411" s="23" t="n">
        <v>159600</v>
      </c>
      <c r="I411" s="23" t="n">
        <v>153300</v>
      </c>
      <c r="J411" t="inlineStr">
        <is>
          <t>Feb</t>
        </is>
      </c>
      <c r="K411" t="n">
        <v>2</v>
      </c>
      <c r="L411" t="inlineStr">
        <is>
          <t>Q1</t>
        </is>
      </c>
      <c r="M411" t="n">
        <v>2024</v>
      </c>
      <c r="N411" s="22" t="n">
        <v>45323</v>
      </c>
      <c r="O411" s="24" t="n">
        <v>1.041095890410959</v>
      </c>
      <c r="P411" s="23" t="n">
        <v>6300</v>
      </c>
    </row>
    <row r="412">
      <c r="A412" t="inlineStr">
        <is>
          <t>Panadol 500 MG</t>
        </is>
      </c>
      <c r="B412" t="inlineStr">
        <is>
          <t>Dakahlia 1</t>
        </is>
      </c>
      <c r="C412" s="22" t="n">
        <v>45352</v>
      </c>
      <c r="D412" t="inlineStr">
        <is>
          <t>Nour El-Din</t>
        </is>
      </c>
      <c r="E412" t="n">
        <v>75</v>
      </c>
      <c r="F412" t="n">
        <v>2720</v>
      </c>
      <c r="G412" t="n">
        <v>3191</v>
      </c>
      <c r="H412" s="23" t="n">
        <v>204000</v>
      </c>
      <c r="I412" s="23" t="n">
        <v>239325</v>
      </c>
      <c r="J412" t="inlineStr">
        <is>
          <t>Mar</t>
        </is>
      </c>
      <c r="K412" t="n">
        <v>3</v>
      </c>
      <c r="L412" t="inlineStr">
        <is>
          <t>Q1</t>
        </is>
      </c>
      <c r="M412" t="n">
        <v>2024</v>
      </c>
      <c r="N412" s="22" t="n">
        <v>45352</v>
      </c>
      <c r="O412" s="24" t="n">
        <v>0.8523973675963648</v>
      </c>
      <c r="P412" s="23" t="n">
        <v>-35325</v>
      </c>
    </row>
    <row r="413">
      <c r="A413" t="inlineStr">
        <is>
          <t>Panadol 500 MG</t>
        </is>
      </c>
      <c r="B413" t="inlineStr">
        <is>
          <t>Dakahlia 1</t>
        </is>
      </c>
      <c r="C413" s="22" t="n">
        <v>45383</v>
      </c>
      <c r="D413" t="inlineStr">
        <is>
          <t>Nour El-Din</t>
        </is>
      </c>
      <c r="E413" t="n">
        <v>75</v>
      </c>
      <c r="F413" t="n">
        <v>2904</v>
      </c>
      <c r="G413" t="n">
        <v>3353</v>
      </c>
      <c r="H413" s="23" t="n">
        <v>217800</v>
      </c>
      <c r="I413" s="23" t="n">
        <v>251475</v>
      </c>
      <c r="J413" t="inlineStr">
        <is>
          <t>Apr</t>
        </is>
      </c>
      <c r="K413" t="n">
        <v>4</v>
      </c>
      <c r="L413" t="inlineStr">
        <is>
          <t>Q2</t>
        </is>
      </c>
      <c r="M413" t="n">
        <v>2024</v>
      </c>
      <c r="N413" s="22" t="n">
        <v>45383</v>
      </c>
      <c r="O413" s="24" t="n">
        <v>0.8660900685952878</v>
      </c>
      <c r="P413" s="23" t="n">
        <v>-33675</v>
      </c>
    </row>
    <row r="414">
      <c r="A414" t="inlineStr">
        <is>
          <t>Panadol 500 MG</t>
        </is>
      </c>
      <c r="B414" t="inlineStr">
        <is>
          <t>Dakahlia 1</t>
        </is>
      </c>
      <c r="C414" s="22" t="n">
        <v>45413</v>
      </c>
      <c r="D414" t="inlineStr">
        <is>
          <t>Nour El-Din</t>
        </is>
      </c>
      <c r="E414" t="n">
        <v>75</v>
      </c>
      <c r="F414" t="n">
        <v>3540</v>
      </c>
      <c r="G414" t="n">
        <v>3531</v>
      </c>
      <c r="H414" s="23" t="n">
        <v>265500</v>
      </c>
      <c r="I414" s="23" t="n">
        <v>264825</v>
      </c>
      <c r="J414" t="inlineStr">
        <is>
          <t>May</t>
        </is>
      </c>
      <c r="K414" t="n">
        <v>5</v>
      </c>
      <c r="L414" t="inlineStr">
        <is>
          <t>Q2</t>
        </is>
      </c>
      <c r="M414" t="n">
        <v>2024</v>
      </c>
      <c r="N414" s="22" t="n">
        <v>45413</v>
      </c>
      <c r="O414" s="24" t="n">
        <v>1.002548853016143</v>
      </c>
      <c r="P414" s="23" t="n">
        <v>675</v>
      </c>
    </row>
    <row r="415">
      <c r="A415" t="inlineStr">
        <is>
          <t>Panadol 500 MG</t>
        </is>
      </c>
      <c r="B415" t="inlineStr">
        <is>
          <t>Dakahlia 1</t>
        </is>
      </c>
      <c r="C415" s="22" t="n">
        <v>45444</v>
      </c>
      <c r="D415" t="inlineStr">
        <is>
          <t>Nour El-Din</t>
        </is>
      </c>
      <c r="E415" t="n">
        <v>75</v>
      </c>
      <c r="F415" t="n">
        <v>3189</v>
      </c>
      <c r="G415" t="n">
        <v>3206</v>
      </c>
      <c r="H415" s="23" t="n">
        <v>239175</v>
      </c>
      <c r="I415" s="23" t="n">
        <v>240450</v>
      </c>
      <c r="J415" t="inlineStr">
        <is>
          <t>Jun</t>
        </is>
      </c>
      <c r="K415" t="n">
        <v>6</v>
      </c>
      <c r="L415" t="inlineStr">
        <is>
          <t>Q2</t>
        </is>
      </c>
      <c r="M415" t="n">
        <v>2024</v>
      </c>
      <c r="N415" s="22" t="n">
        <v>45444</v>
      </c>
      <c r="O415" s="24" t="n">
        <v>0.9946974422956956</v>
      </c>
      <c r="P415" s="23" t="n">
        <v>-1275</v>
      </c>
    </row>
    <row r="416">
      <c r="A416" t="inlineStr">
        <is>
          <t>Panadol 500 MG</t>
        </is>
      </c>
      <c r="B416" t="inlineStr">
        <is>
          <t>Dakahlia 1</t>
        </is>
      </c>
      <c r="C416" s="22" t="n">
        <v>45474</v>
      </c>
      <c r="D416" t="inlineStr">
        <is>
          <t>Nour El-Din</t>
        </is>
      </c>
      <c r="E416" t="n">
        <v>75</v>
      </c>
      <c r="F416" t="n">
        <v>3665</v>
      </c>
      <c r="G416" t="n">
        <v>3490</v>
      </c>
      <c r="H416" s="23" t="n">
        <v>274875</v>
      </c>
      <c r="I416" s="23" t="n">
        <v>261750</v>
      </c>
      <c r="J416" t="inlineStr">
        <is>
          <t>Jul</t>
        </is>
      </c>
      <c r="K416" t="n">
        <v>7</v>
      </c>
      <c r="L416" t="inlineStr">
        <is>
          <t>Q3</t>
        </is>
      </c>
      <c r="M416" t="n">
        <v>2024</v>
      </c>
      <c r="N416" s="22" t="n">
        <v>45474</v>
      </c>
      <c r="O416" s="24" t="n">
        <v>1.050143266475645</v>
      </c>
      <c r="P416" s="23" t="n">
        <v>13125</v>
      </c>
    </row>
    <row r="417">
      <c r="A417" t="inlineStr">
        <is>
          <t>Panadol 500 MG</t>
        </is>
      </c>
      <c r="B417" t="inlineStr">
        <is>
          <t>Dakahlia 1</t>
        </is>
      </c>
      <c r="C417" s="22" t="n">
        <v>45505</v>
      </c>
      <c r="D417" t="inlineStr">
        <is>
          <t>Nour El-Din</t>
        </is>
      </c>
      <c r="E417" t="n">
        <v>75</v>
      </c>
      <c r="F417" t="n">
        <v>2085</v>
      </c>
      <c r="G417" t="n">
        <v>2110</v>
      </c>
      <c r="H417" s="23" t="n">
        <v>156375</v>
      </c>
      <c r="I417" s="23" t="n">
        <v>158250</v>
      </c>
      <c r="J417" t="inlineStr">
        <is>
          <t>Aug</t>
        </is>
      </c>
      <c r="K417" t="n">
        <v>8</v>
      </c>
      <c r="L417" t="inlineStr">
        <is>
          <t>Q3</t>
        </is>
      </c>
      <c r="M417" t="n">
        <v>2024</v>
      </c>
      <c r="N417" s="22" t="n">
        <v>45505</v>
      </c>
      <c r="O417" s="24" t="n">
        <v>0.9881516587677726</v>
      </c>
      <c r="P417" s="23" t="n">
        <v>-1875</v>
      </c>
    </row>
    <row r="418">
      <c r="A418" t="inlineStr">
        <is>
          <t>Panadol 500 MG</t>
        </is>
      </c>
      <c r="B418" t="inlineStr">
        <is>
          <t>Dakahlia 1</t>
        </is>
      </c>
      <c r="C418" s="22" t="n">
        <v>45536</v>
      </c>
      <c r="D418" t="inlineStr">
        <is>
          <t>Nour El-Din</t>
        </is>
      </c>
      <c r="E418" t="n">
        <v>75</v>
      </c>
      <c r="F418" t="n">
        <v>1882</v>
      </c>
      <c r="G418" t="n">
        <v>2133</v>
      </c>
      <c r="H418" s="23" t="n">
        <v>141150</v>
      </c>
      <c r="I418" s="23" t="n">
        <v>159975</v>
      </c>
      <c r="J418" t="inlineStr">
        <is>
          <t>Sep</t>
        </is>
      </c>
      <c r="K418" t="n">
        <v>9</v>
      </c>
      <c r="L418" t="inlineStr">
        <is>
          <t>Q3</t>
        </is>
      </c>
      <c r="M418" t="n">
        <v>2024</v>
      </c>
      <c r="N418" s="22" t="n">
        <v>45536</v>
      </c>
      <c r="O418" s="24" t="n">
        <v>0.8823253633380216</v>
      </c>
      <c r="P418" s="23" t="n">
        <v>-18825</v>
      </c>
    </row>
    <row r="419">
      <c r="A419" t="inlineStr">
        <is>
          <t>Panadol 500 MG</t>
        </is>
      </c>
      <c r="B419" t="inlineStr">
        <is>
          <t>Dakahlia 1</t>
        </is>
      </c>
      <c r="C419" s="22" t="n">
        <v>45566</v>
      </c>
      <c r="D419" t="inlineStr">
        <is>
          <t>Nour El-Din</t>
        </is>
      </c>
      <c r="E419" t="n">
        <v>75</v>
      </c>
      <c r="F419" t="n">
        <v>3307</v>
      </c>
      <c r="G419" t="n">
        <v>3207</v>
      </c>
      <c r="H419" s="23" t="n">
        <v>248025</v>
      </c>
      <c r="I419" s="23" t="n">
        <v>240525</v>
      </c>
      <c r="J419" t="inlineStr">
        <is>
          <t>Oct</t>
        </is>
      </c>
      <c r="K419" t="n">
        <v>10</v>
      </c>
      <c r="L419" t="inlineStr">
        <is>
          <t>Q4</t>
        </is>
      </c>
      <c r="M419" t="n">
        <v>2024</v>
      </c>
      <c r="N419" s="22" t="n">
        <v>45566</v>
      </c>
      <c r="O419" s="24" t="n">
        <v>1.031181789834736</v>
      </c>
      <c r="P419" s="23" t="n">
        <v>7500</v>
      </c>
    </row>
    <row r="420">
      <c r="A420" t="inlineStr">
        <is>
          <t>Panadol 500 MG</t>
        </is>
      </c>
      <c r="B420" t="inlineStr">
        <is>
          <t>Dakahlia 1</t>
        </is>
      </c>
      <c r="C420" s="22" t="n">
        <v>45597</v>
      </c>
      <c r="D420" t="inlineStr">
        <is>
          <t>Nour El-Din</t>
        </is>
      </c>
      <c r="E420" t="n">
        <v>75</v>
      </c>
      <c r="F420" t="n">
        <v>2357</v>
      </c>
      <c r="G420" t="n">
        <v>2615</v>
      </c>
      <c r="H420" s="23" t="n">
        <v>176775</v>
      </c>
      <c r="I420" s="23" t="n">
        <v>196125</v>
      </c>
      <c r="J420" t="inlineStr">
        <is>
          <t>Nov</t>
        </is>
      </c>
      <c r="K420" t="n">
        <v>11</v>
      </c>
      <c r="L420" t="inlineStr">
        <is>
          <t>Q4</t>
        </is>
      </c>
      <c r="M420" t="n">
        <v>2024</v>
      </c>
      <c r="N420" s="22" t="n">
        <v>45597</v>
      </c>
      <c r="O420" s="24" t="n">
        <v>0.901338432122371</v>
      </c>
      <c r="P420" s="23" t="n">
        <v>-19350</v>
      </c>
    </row>
    <row r="421">
      <c r="A421" t="inlineStr">
        <is>
          <t>Panadol 500 MG</t>
        </is>
      </c>
      <c r="B421" t="inlineStr">
        <is>
          <t>Dakahlia 1</t>
        </is>
      </c>
      <c r="C421" s="22" t="n">
        <v>45627</v>
      </c>
      <c r="D421" t="inlineStr">
        <is>
          <t>Nour El-Din</t>
        </is>
      </c>
      <c r="E421" t="n">
        <v>75</v>
      </c>
      <c r="F421" t="n">
        <v>3453</v>
      </c>
      <c r="G421" t="n">
        <v>3412</v>
      </c>
      <c r="H421" s="23" t="n">
        <v>258975</v>
      </c>
      <c r="I421" s="23" t="n">
        <v>255900</v>
      </c>
      <c r="J421" t="inlineStr">
        <is>
          <t>Dec</t>
        </is>
      </c>
      <c r="K421" t="n">
        <v>12</v>
      </c>
      <c r="L421" t="inlineStr">
        <is>
          <t>Q4</t>
        </is>
      </c>
      <c r="M421" t="n">
        <v>2024</v>
      </c>
      <c r="N421" s="22" t="n">
        <v>45627</v>
      </c>
      <c r="O421" s="24" t="n">
        <v>1.012016412661196</v>
      </c>
      <c r="P421" s="23" t="n">
        <v>3075</v>
      </c>
    </row>
    <row r="422">
      <c r="A422" t="inlineStr">
        <is>
          <t>Panadol 500 MG</t>
        </is>
      </c>
      <c r="B422" t="inlineStr">
        <is>
          <t>Dakahlia 2</t>
        </is>
      </c>
      <c r="C422" s="22" t="n">
        <v>45292</v>
      </c>
      <c r="D422" t="inlineStr">
        <is>
          <t>Omar Khaled</t>
        </is>
      </c>
      <c r="E422" t="n">
        <v>75</v>
      </c>
      <c r="F422" t="n">
        <v>3500</v>
      </c>
      <c r="G422" t="n">
        <v>3125</v>
      </c>
      <c r="H422" s="23" t="n">
        <v>262500</v>
      </c>
      <c r="I422" s="23" t="n">
        <v>234375</v>
      </c>
      <c r="J422" t="inlineStr">
        <is>
          <t>Jan</t>
        </is>
      </c>
      <c r="K422" t="n">
        <v>1</v>
      </c>
      <c r="L422" t="inlineStr">
        <is>
          <t>Q1</t>
        </is>
      </c>
      <c r="M422" t="n">
        <v>2024</v>
      </c>
      <c r="N422" s="22" t="n">
        <v>45292</v>
      </c>
      <c r="O422" s="24" t="n">
        <v>1.12</v>
      </c>
      <c r="P422" s="23" t="n">
        <v>28125</v>
      </c>
    </row>
    <row r="423">
      <c r="A423" t="inlineStr">
        <is>
          <t>Panadol 500 MG</t>
        </is>
      </c>
      <c r="B423" t="inlineStr">
        <is>
          <t>Dakahlia 2</t>
        </is>
      </c>
      <c r="C423" s="22" t="n">
        <v>45323</v>
      </c>
      <c r="D423" t="inlineStr">
        <is>
          <t>Omar Khaled</t>
        </is>
      </c>
      <c r="E423" t="n">
        <v>75</v>
      </c>
      <c r="F423" t="n">
        <v>3738</v>
      </c>
      <c r="G423" t="n">
        <v>3729</v>
      </c>
      <c r="H423" s="23" t="n">
        <v>280350</v>
      </c>
      <c r="I423" s="23" t="n">
        <v>279675</v>
      </c>
      <c r="J423" t="inlineStr">
        <is>
          <t>Feb</t>
        </is>
      </c>
      <c r="K423" t="n">
        <v>2</v>
      </c>
      <c r="L423" t="inlineStr">
        <is>
          <t>Q1</t>
        </is>
      </c>
      <c r="M423" t="n">
        <v>2024</v>
      </c>
      <c r="N423" s="22" t="n">
        <v>45323</v>
      </c>
      <c r="O423" s="24" t="n">
        <v>1.002413515687852</v>
      </c>
      <c r="P423" s="23" t="n">
        <v>675</v>
      </c>
    </row>
    <row r="424">
      <c r="A424" t="inlineStr">
        <is>
          <t>Panadol 500 MG</t>
        </is>
      </c>
      <c r="B424" t="inlineStr">
        <is>
          <t>Dakahlia 2</t>
        </is>
      </c>
      <c r="C424" s="22" t="n">
        <v>45352</v>
      </c>
      <c r="D424" t="inlineStr">
        <is>
          <t>Omar Khaled</t>
        </is>
      </c>
      <c r="E424" t="n">
        <v>75</v>
      </c>
      <c r="F424" t="n">
        <v>2959</v>
      </c>
      <c r="G424" t="n">
        <v>3053</v>
      </c>
      <c r="H424" s="23" t="n">
        <v>221925</v>
      </c>
      <c r="I424" s="23" t="n">
        <v>228975</v>
      </c>
      <c r="J424" t="inlineStr">
        <is>
          <t>Mar</t>
        </is>
      </c>
      <c r="K424" t="n">
        <v>3</v>
      </c>
      <c r="L424" t="inlineStr">
        <is>
          <t>Q1</t>
        </is>
      </c>
      <c r="M424" t="n">
        <v>2024</v>
      </c>
      <c r="N424" s="22" t="n">
        <v>45352</v>
      </c>
      <c r="O424" s="24" t="n">
        <v>0.969210612512283</v>
      </c>
      <c r="P424" s="23" t="n">
        <v>-7050</v>
      </c>
    </row>
    <row r="425">
      <c r="A425" t="inlineStr">
        <is>
          <t>Panadol 500 MG</t>
        </is>
      </c>
      <c r="B425" t="inlineStr">
        <is>
          <t>Dakahlia 2</t>
        </is>
      </c>
      <c r="C425" s="22" t="n">
        <v>45383</v>
      </c>
      <c r="D425" t="inlineStr">
        <is>
          <t>Omar Khaled</t>
        </is>
      </c>
      <c r="E425" t="n">
        <v>75</v>
      </c>
      <c r="F425" t="n">
        <v>2105</v>
      </c>
      <c r="G425" t="n">
        <v>2220</v>
      </c>
      <c r="H425" s="23" t="n">
        <v>157875</v>
      </c>
      <c r="I425" s="23" t="n">
        <v>166500</v>
      </c>
      <c r="J425" t="inlineStr">
        <is>
          <t>Apr</t>
        </is>
      </c>
      <c r="K425" t="n">
        <v>4</v>
      </c>
      <c r="L425" t="inlineStr">
        <is>
          <t>Q2</t>
        </is>
      </c>
      <c r="M425" t="n">
        <v>2024</v>
      </c>
      <c r="N425" s="22" t="n">
        <v>45383</v>
      </c>
      <c r="O425" s="24" t="n">
        <v>0.9481981981981982</v>
      </c>
      <c r="P425" s="23" t="n">
        <v>-8625</v>
      </c>
    </row>
    <row r="426">
      <c r="A426" t="inlineStr">
        <is>
          <t>Panadol 500 MG</t>
        </is>
      </c>
      <c r="B426" t="inlineStr">
        <is>
          <t>Dakahlia 2</t>
        </is>
      </c>
      <c r="C426" s="22" t="n">
        <v>45413</v>
      </c>
      <c r="D426" t="inlineStr">
        <is>
          <t>Omar Khaled</t>
        </is>
      </c>
      <c r="E426" t="n">
        <v>75</v>
      </c>
      <c r="F426" t="n">
        <v>2151</v>
      </c>
      <c r="G426" t="n">
        <v>2024</v>
      </c>
      <c r="H426" s="23" t="n">
        <v>161325</v>
      </c>
      <c r="I426" s="23" t="n">
        <v>151800</v>
      </c>
      <c r="J426" t="inlineStr">
        <is>
          <t>May</t>
        </is>
      </c>
      <c r="K426" t="n">
        <v>5</v>
      </c>
      <c r="L426" t="inlineStr">
        <is>
          <t>Q2</t>
        </is>
      </c>
      <c r="M426" t="n">
        <v>2024</v>
      </c>
      <c r="N426" s="22" t="n">
        <v>45413</v>
      </c>
      <c r="O426" s="24" t="n">
        <v>1.062747035573123</v>
      </c>
      <c r="P426" s="23" t="n">
        <v>9525</v>
      </c>
    </row>
    <row r="427">
      <c r="A427" t="inlineStr">
        <is>
          <t>Panadol 500 MG</t>
        </is>
      </c>
      <c r="B427" t="inlineStr">
        <is>
          <t>Dakahlia 2</t>
        </is>
      </c>
      <c r="C427" s="22" t="n">
        <v>45444</v>
      </c>
      <c r="D427" t="inlineStr">
        <is>
          <t>Omar Khaled</t>
        </is>
      </c>
      <c r="E427" t="n">
        <v>75</v>
      </c>
      <c r="F427" t="n">
        <v>3151</v>
      </c>
      <c r="G427" t="n">
        <v>2997</v>
      </c>
      <c r="H427" s="23" t="n">
        <v>236325</v>
      </c>
      <c r="I427" s="23" t="n">
        <v>224775</v>
      </c>
      <c r="J427" t="inlineStr">
        <is>
          <t>Jun</t>
        </is>
      </c>
      <c r="K427" t="n">
        <v>6</v>
      </c>
      <c r="L427" t="inlineStr">
        <is>
          <t>Q2</t>
        </is>
      </c>
      <c r="M427" t="n">
        <v>2024</v>
      </c>
      <c r="N427" s="22" t="n">
        <v>45444</v>
      </c>
      <c r="O427" s="24" t="n">
        <v>1.051384718051385</v>
      </c>
      <c r="P427" s="23" t="n">
        <v>11550</v>
      </c>
    </row>
    <row r="428">
      <c r="A428" t="inlineStr">
        <is>
          <t>Panadol 500 MG</t>
        </is>
      </c>
      <c r="B428" t="inlineStr">
        <is>
          <t>Dakahlia 2</t>
        </is>
      </c>
      <c r="C428" s="22" t="n">
        <v>45474</v>
      </c>
      <c r="D428" t="inlineStr">
        <is>
          <t>Omar Khaled</t>
        </is>
      </c>
      <c r="E428" t="n">
        <v>75</v>
      </c>
      <c r="F428" t="n">
        <v>3174</v>
      </c>
      <c r="G428" t="n">
        <v>3577</v>
      </c>
      <c r="H428" s="23" t="n">
        <v>238050</v>
      </c>
      <c r="I428" s="23" t="n">
        <v>268275</v>
      </c>
      <c r="J428" t="inlineStr">
        <is>
          <t>Jul</t>
        </is>
      </c>
      <c r="K428" t="n">
        <v>7</v>
      </c>
      <c r="L428" t="inlineStr">
        <is>
          <t>Q3</t>
        </is>
      </c>
      <c r="M428" t="n">
        <v>2024</v>
      </c>
      <c r="N428" s="22" t="n">
        <v>45474</v>
      </c>
      <c r="O428" s="24" t="n">
        <v>0.8873357562202964</v>
      </c>
      <c r="P428" s="23" t="n">
        <v>-30225</v>
      </c>
    </row>
    <row r="429">
      <c r="A429" t="inlineStr">
        <is>
          <t>Panadol 500 MG</t>
        </is>
      </c>
      <c r="B429" t="inlineStr">
        <is>
          <t>Dakahlia 2</t>
        </is>
      </c>
      <c r="C429" s="22" t="n">
        <v>45505</v>
      </c>
      <c r="D429" t="inlineStr">
        <is>
          <t>Omar Khaled</t>
        </is>
      </c>
      <c r="E429" t="n">
        <v>75</v>
      </c>
      <c r="F429" t="n">
        <v>2208</v>
      </c>
      <c r="G429" t="n">
        <v>2428</v>
      </c>
      <c r="H429" s="23" t="n">
        <v>165600</v>
      </c>
      <c r="I429" s="23" t="n">
        <v>182100</v>
      </c>
      <c r="J429" t="inlineStr">
        <is>
          <t>Aug</t>
        </is>
      </c>
      <c r="K429" t="n">
        <v>8</v>
      </c>
      <c r="L429" t="inlineStr">
        <is>
          <t>Q3</t>
        </is>
      </c>
      <c r="M429" t="n">
        <v>2024</v>
      </c>
      <c r="N429" s="22" t="n">
        <v>45505</v>
      </c>
      <c r="O429" s="24" t="n">
        <v>0.9093904448105437</v>
      </c>
      <c r="P429" s="23" t="n">
        <v>-16500</v>
      </c>
    </row>
    <row r="430">
      <c r="A430" t="inlineStr">
        <is>
          <t>Panadol 500 MG</t>
        </is>
      </c>
      <c r="B430" t="inlineStr">
        <is>
          <t>Dakahlia 2</t>
        </is>
      </c>
      <c r="C430" s="22" t="n">
        <v>45536</v>
      </c>
      <c r="D430" t="inlineStr">
        <is>
          <t>Omar Khaled</t>
        </is>
      </c>
      <c r="E430" t="n">
        <v>75</v>
      </c>
      <c r="F430" t="n">
        <v>3314</v>
      </c>
      <c r="G430" t="n">
        <v>3634</v>
      </c>
      <c r="H430" s="23" t="n">
        <v>248550</v>
      </c>
      <c r="I430" s="23" t="n">
        <v>272550</v>
      </c>
      <c r="J430" t="inlineStr">
        <is>
          <t>Sep</t>
        </is>
      </c>
      <c r="K430" t="n">
        <v>9</v>
      </c>
      <c r="L430" t="inlineStr">
        <is>
          <t>Q3</t>
        </is>
      </c>
      <c r="M430" t="n">
        <v>2024</v>
      </c>
      <c r="N430" s="22" t="n">
        <v>45536</v>
      </c>
      <c r="O430" s="24" t="n">
        <v>0.9119427627958173</v>
      </c>
      <c r="P430" s="23" t="n">
        <v>-24000</v>
      </c>
    </row>
    <row r="431">
      <c r="A431" t="inlineStr">
        <is>
          <t>Panadol 500 MG</t>
        </is>
      </c>
      <c r="B431" t="inlineStr">
        <is>
          <t>Dakahlia 2</t>
        </is>
      </c>
      <c r="C431" s="22" t="n">
        <v>45566</v>
      </c>
      <c r="D431" t="inlineStr">
        <is>
          <t>Omar Khaled</t>
        </is>
      </c>
      <c r="E431" t="n">
        <v>75</v>
      </c>
      <c r="F431" t="n">
        <v>2865</v>
      </c>
      <c r="G431" t="n">
        <v>3070</v>
      </c>
      <c r="H431" s="23" t="n">
        <v>214875</v>
      </c>
      <c r="I431" s="23" t="n">
        <v>230250</v>
      </c>
      <c r="J431" t="inlineStr">
        <is>
          <t>Oct</t>
        </is>
      </c>
      <c r="K431" t="n">
        <v>10</v>
      </c>
      <c r="L431" t="inlineStr">
        <is>
          <t>Q4</t>
        </is>
      </c>
      <c r="M431" t="n">
        <v>2024</v>
      </c>
      <c r="N431" s="22" t="n">
        <v>45566</v>
      </c>
      <c r="O431" s="24" t="n">
        <v>0.9332247557003257</v>
      </c>
      <c r="P431" s="23" t="n">
        <v>-15375</v>
      </c>
    </row>
    <row r="432">
      <c r="A432" t="inlineStr">
        <is>
          <t>Panadol 500 MG</t>
        </is>
      </c>
      <c r="B432" t="inlineStr">
        <is>
          <t>Dakahlia 2</t>
        </is>
      </c>
      <c r="C432" s="22" t="n">
        <v>45597</v>
      </c>
      <c r="D432" t="inlineStr">
        <is>
          <t>Omar Khaled</t>
        </is>
      </c>
      <c r="E432" t="n">
        <v>75</v>
      </c>
      <c r="F432" t="n">
        <v>3685</v>
      </c>
      <c r="G432" t="n">
        <v>3862</v>
      </c>
      <c r="H432" s="23" t="n">
        <v>276375</v>
      </c>
      <c r="I432" s="23" t="n">
        <v>289650</v>
      </c>
      <c r="J432" t="inlineStr">
        <is>
          <t>Nov</t>
        </is>
      </c>
      <c r="K432" t="n">
        <v>11</v>
      </c>
      <c r="L432" t="inlineStr">
        <is>
          <t>Q4</t>
        </is>
      </c>
      <c r="M432" t="n">
        <v>2024</v>
      </c>
      <c r="N432" s="22" t="n">
        <v>45597</v>
      </c>
      <c r="O432" s="24" t="n">
        <v>0.9541688244432937</v>
      </c>
      <c r="P432" s="23" t="n">
        <v>-13275</v>
      </c>
    </row>
    <row r="433">
      <c r="A433" t="inlineStr">
        <is>
          <t>Panadol 500 MG</t>
        </is>
      </c>
      <c r="B433" t="inlineStr">
        <is>
          <t>Dakahlia 2</t>
        </is>
      </c>
      <c r="C433" s="22" t="n">
        <v>45627</v>
      </c>
      <c r="D433" t="inlineStr">
        <is>
          <t>Omar Khaled</t>
        </is>
      </c>
      <c r="E433" t="n">
        <v>75</v>
      </c>
      <c r="F433" t="n">
        <v>3135</v>
      </c>
      <c r="G433" t="n">
        <v>3227</v>
      </c>
      <c r="H433" s="23" t="n">
        <v>235125</v>
      </c>
      <c r="I433" s="23" t="n">
        <v>242025</v>
      </c>
      <c r="J433" t="inlineStr">
        <is>
          <t>Dec</t>
        </is>
      </c>
      <c r="K433" t="n">
        <v>12</v>
      </c>
      <c r="L433" t="inlineStr">
        <is>
          <t>Q4</t>
        </is>
      </c>
      <c r="M433" t="n">
        <v>2024</v>
      </c>
      <c r="N433" s="22" t="n">
        <v>45627</v>
      </c>
      <c r="O433" s="24" t="n">
        <v>0.9714905484970561</v>
      </c>
      <c r="P433" s="23" t="n">
        <v>-6900</v>
      </c>
    </row>
    <row r="434">
      <c r="A434" t="inlineStr">
        <is>
          <t>Panadol 500 MG</t>
        </is>
      </c>
      <c r="B434" t="inlineStr">
        <is>
          <t>Sharqia 1</t>
        </is>
      </c>
      <c r="C434" s="22" t="n">
        <v>45292</v>
      </c>
      <c r="D434" t="inlineStr">
        <is>
          <t>Sara Ibrahim</t>
        </is>
      </c>
      <c r="E434" t="n">
        <v>75</v>
      </c>
      <c r="F434" t="n">
        <v>3669</v>
      </c>
      <c r="G434" t="n">
        <v>3900</v>
      </c>
      <c r="H434" s="23" t="n">
        <v>275175</v>
      </c>
      <c r="I434" s="23" t="n">
        <v>292500</v>
      </c>
      <c r="J434" t="inlineStr">
        <is>
          <t>Jan</t>
        </is>
      </c>
      <c r="K434" t="n">
        <v>1</v>
      </c>
      <c r="L434" t="inlineStr">
        <is>
          <t>Q1</t>
        </is>
      </c>
      <c r="M434" t="n">
        <v>2024</v>
      </c>
      <c r="N434" s="22" t="n">
        <v>45292</v>
      </c>
      <c r="O434" s="24" t="n">
        <v>0.9407692307692308</v>
      </c>
      <c r="P434" s="23" t="n">
        <v>-17325</v>
      </c>
    </row>
    <row r="435">
      <c r="A435" t="inlineStr">
        <is>
          <t>Panadol 500 MG</t>
        </is>
      </c>
      <c r="B435" t="inlineStr">
        <is>
          <t>Sharqia 1</t>
        </is>
      </c>
      <c r="C435" s="22" t="n">
        <v>45323</v>
      </c>
      <c r="D435" t="inlineStr">
        <is>
          <t>Sara Ibrahim</t>
        </is>
      </c>
      <c r="E435" t="n">
        <v>75</v>
      </c>
      <c r="F435" t="n">
        <v>2789</v>
      </c>
      <c r="G435" t="n">
        <v>2803</v>
      </c>
      <c r="H435" s="23" t="n">
        <v>209175</v>
      </c>
      <c r="I435" s="23" t="n">
        <v>210225</v>
      </c>
      <c r="J435" t="inlineStr">
        <is>
          <t>Feb</t>
        </is>
      </c>
      <c r="K435" t="n">
        <v>2</v>
      </c>
      <c r="L435" t="inlineStr">
        <is>
          <t>Q1</t>
        </is>
      </c>
      <c r="M435" t="n">
        <v>2024</v>
      </c>
      <c r="N435" s="22" t="n">
        <v>45323</v>
      </c>
      <c r="O435" s="24" t="n">
        <v>0.9950053514092044</v>
      </c>
      <c r="P435" s="23" t="n">
        <v>-1050</v>
      </c>
    </row>
    <row r="436">
      <c r="A436" t="inlineStr">
        <is>
          <t>Panadol 500 MG</t>
        </is>
      </c>
      <c r="B436" t="inlineStr">
        <is>
          <t>Sharqia 1</t>
        </is>
      </c>
      <c r="C436" s="22" t="n">
        <v>45352</v>
      </c>
      <c r="D436" t="inlineStr">
        <is>
          <t>Sara Ibrahim</t>
        </is>
      </c>
      <c r="E436" t="n">
        <v>75</v>
      </c>
      <c r="F436" t="n">
        <v>3483</v>
      </c>
      <c r="G436" t="n">
        <v>3686</v>
      </c>
      <c r="H436" s="23" t="n">
        <v>261225</v>
      </c>
      <c r="I436" s="23" t="n">
        <v>276450</v>
      </c>
      <c r="J436" t="inlineStr">
        <is>
          <t>Mar</t>
        </is>
      </c>
      <c r="K436" t="n">
        <v>3</v>
      </c>
      <c r="L436" t="inlineStr">
        <is>
          <t>Q1</t>
        </is>
      </c>
      <c r="M436" t="n">
        <v>2024</v>
      </c>
      <c r="N436" s="22" t="n">
        <v>45352</v>
      </c>
      <c r="O436" s="24" t="n">
        <v>0.9449267498643517</v>
      </c>
      <c r="P436" s="23" t="n">
        <v>-15225</v>
      </c>
    </row>
    <row r="437">
      <c r="A437" t="inlineStr">
        <is>
          <t>Panadol 500 MG</t>
        </is>
      </c>
      <c r="B437" t="inlineStr">
        <is>
          <t>Sharqia 1</t>
        </is>
      </c>
      <c r="C437" s="22" t="n">
        <v>45383</v>
      </c>
      <c r="D437" t="inlineStr">
        <is>
          <t>Sara Ibrahim</t>
        </is>
      </c>
      <c r="E437" t="n">
        <v>75</v>
      </c>
      <c r="F437" t="n">
        <v>3192</v>
      </c>
      <c r="G437" t="n">
        <v>3686</v>
      </c>
      <c r="H437" s="23" t="n">
        <v>239400</v>
      </c>
      <c r="I437" s="23" t="n">
        <v>276450</v>
      </c>
      <c r="J437" t="inlineStr">
        <is>
          <t>Apr</t>
        </is>
      </c>
      <c r="K437" t="n">
        <v>4</v>
      </c>
      <c r="L437" t="inlineStr">
        <is>
          <t>Q2</t>
        </is>
      </c>
      <c r="M437" t="n">
        <v>2024</v>
      </c>
      <c r="N437" s="22" t="n">
        <v>45383</v>
      </c>
      <c r="O437" s="24" t="n">
        <v>0.865979381443299</v>
      </c>
      <c r="P437" s="23" t="n">
        <v>-37050</v>
      </c>
    </row>
    <row r="438">
      <c r="A438" t="inlineStr">
        <is>
          <t>Panadol 500 MG</t>
        </is>
      </c>
      <c r="B438" t="inlineStr">
        <is>
          <t>Sharqia 1</t>
        </is>
      </c>
      <c r="C438" s="22" t="n">
        <v>45413</v>
      </c>
      <c r="D438" t="inlineStr">
        <is>
          <t>Sara Ibrahim</t>
        </is>
      </c>
      <c r="E438" t="n">
        <v>75</v>
      </c>
      <c r="F438" t="n">
        <v>1452</v>
      </c>
      <c r="G438" t="n">
        <v>3731</v>
      </c>
      <c r="H438" s="23" t="n">
        <v>108900</v>
      </c>
      <c r="I438" s="23" t="n">
        <v>279825</v>
      </c>
      <c r="J438" t="inlineStr">
        <is>
          <t>May</t>
        </is>
      </c>
      <c r="K438" t="n">
        <v>5</v>
      </c>
      <c r="L438" t="inlineStr">
        <is>
          <t>Q2</t>
        </is>
      </c>
      <c r="M438" t="n">
        <v>2024</v>
      </c>
      <c r="N438" s="22" t="n">
        <v>45413</v>
      </c>
      <c r="O438" s="24" t="n">
        <v>0.3891718038059501</v>
      </c>
      <c r="P438" s="23" t="n">
        <v>-170925</v>
      </c>
    </row>
    <row r="439">
      <c r="A439" t="inlineStr">
        <is>
          <t>Panadol 500 MG</t>
        </is>
      </c>
      <c r="B439" t="inlineStr">
        <is>
          <t>Sharqia 1</t>
        </is>
      </c>
      <c r="C439" s="22" t="n">
        <v>45444</v>
      </c>
      <c r="D439" t="inlineStr">
        <is>
          <t>Sara Ibrahim</t>
        </is>
      </c>
      <c r="E439" t="n">
        <v>75</v>
      </c>
      <c r="F439" t="n">
        <v>3662</v>
      </c>
      <c r="G439" t="n">
        <v>3776</v>
      </c>
      <c r="H439" s="23" t="n">
        <v>274650</v>
      </c>
      <c r="I439" s="23" t="n">
        <v>283200</v>
      </c>
      <c r="J439" t="inlineStr">
        <is>
          <t>Jun</t>
        </is>
      </c>
      <c r="K439" t="n">
        <v>6</v>
      </c>
      <c r="L439" t="inlineStr">
        <is>
          <t>Q2</t>
        </is>
      </c>
      <c r="M439" t="n">
        <v>2024</v>
      </c>
      <c r="N439" s="22" t="n">
        <v>45444</v>
      </c>
      <c r="O439" s="24" t="n">
        <v>0.9698093220338984</v>
      </c>
      <c r="P439" s="23" t="n">
        <v>-8550</v>
      </c>
    </row>
    <row r="440">
      <c r="A440" t="inlineStr">
        <is>
          <t>Panadol 500 MG</t>
        </is>
      </c>
      <c r="B440" t="inlineStr">
        <is>
          <t>Sharqia 1</t>
        </is>
      </c>
      <c r="C440" s="22" t="n">
        <v>45474</v>
      </c>
      <c r="D440" t="inlineStr">
        <is>
          <t>Sara Ibrahim</t>
        </is>
      </c>
      <c r="E440" t="n">
        <v>75</v>
      </c>
      <c r="F440" t="n">
        <v>3167</v>
      </c>
      <c r="G440" t="n">
        <v>2992</v>
      </c>
      <c r="H440" s="23" t="n">
        <v>237525</v>
      </c>
      <c r="I440" s="23" t="n">
        <v>224400</v>
      </c>
      <c r="J440" t="inlineStr">
        <is>
          <t>Jul</t>
        </is>
      </c>
      <c r="K440" t="n">
        <v>7</v>
      </c>
      <c r="L440" t="inlineStr">
        <is>
          <t>Q3</t>
        </is>
      </c>
      <c r="M440" t="n">
        <v>2024</v>
      </c>
      <c r="N440" s="22" t="n">
        <v>45474</v>
      </c>
      <c r="O440" s="24" t="n">
        <v>1.058489304812834</v>
      </c>
      <c r="P440" s="23" t="n">
        <v>13125</v>
      </c>
    </row>
    <row r="441">
      <c r="A441" t="inlineStr">
        <is>
          <t>Panadol 500 MG</t>
        </is>
      </c>
      <c r="B441" t="inlineStr">
        <is>
          <t>Sharqia 1</t>
        </is>
      </c>
      <c r="C441" s="22" t="n">
        <v>45505</v>
      </c>
      <c r="D441" t="inlineStr">
        <is>
          <t>Sara Ibrahim</t>
        </is>
      </c>
      <c r="E441" t="n">
        <v>75</v>
      </c>
      <c r="F441" t="n">
        <v>2458</v>
      </c>
      <c r="G441" t="n">
        <v>2617</v>
      </c>
      <c r="H441" s="23" t="n">
        <v>184350</v>
      </c>
      <c r="I441" s="23" t="n">
        <v>196275</v>
      </c>
      <c r="J441" t="inlineStr">
        <is>
          <t>Aug</t>
        </is>
      </c>
      <c r="K441" t="n">
        <v>8</v>
      </c>
      <c r="L441" t="inlineStr">
        <is>
          <t>Q3</t>
        </is>
      </c>
      <c r="M441" t="n">
        <v>2024</v>
      </c>
      <c r="N441" s="22" t="n">
        <v>45505</v>
      </c>
      <c r="O441" s="24" t="n">
        <v>0.9392434084829958</v>
      </c>
      <c r="P441" s="23" t="n">
        <v>-11925</v>
      </c>
    </row>
    <row r="442">
      <c r="A442" t="inlineStr">
        <is>
          <t>Panadol 500 MG</t>
        </is>
      </c>
      <c r="B442" t="inlineStr">
        <is>
          <t>Sharqia 1</t>
        </is>
      </c>
      <c r="C442" s="22" t="n">
        <v>45536</v>
      </c>
      <c r="D442" t="inlineStr">
        <is>
          <t>Sara Ibrahim</t>
        </is>
      </c>
      <c r="E442" t="n">
        <v>75</v>
      </c>
      <c r="F442" t="n">
        <v>3599</v>
      </c>
      <c r="G442" t="n">
        <v>3817</v>
      </c>
      <c r="H442" s="23" t="n">
        <v>269925</v>
      </c>
      <c r="I442" s="23" t="n">
        <v>286275</v>
      </c>
      <c r="J442" t="inlineStr">
        <is>
          <t>Sep</t>
        </is>
      </c>
      <c r="K442" t="n">
        <v>9</v>
      </c>
      <c r="L442" t="inlineStr">
        <is>
          <t>Q3</t>
        </is>
      </c>
      <c r="M442" t="n">
        <v>2024</v>
      </c>
      <c r="N442" s="22" t="n">
        <v>45536</v>
      </c>
      <c r="O442" s="24" t="n">
        <v>0.9428870840974587</v>
      </c>
      <c r="P442" s="23" t="n">
        <v>-16350</v>
      </c>
    </row>
    <row r="443">
      <c r="A443" t="inlineStr">
        <is>
          <t>Panadol 500 MG</t>
        </is>
      </c>
      <c r="B443" t="inlineStr">
        <is>
          <t>Sharqia 1</t>
        </is>
      </c>
      <c r="C443" s="22" t="n">
        <v>45566</v>
      </c>
      <c r="D443" t="inlineStr">
        <is>
          <t>Sara Ibrahim</t>
        </is>
      </c>
      <c r="E443" t="n">
        <v>75</v>
      </c>
      <c r="F443" t="n">
        <v>2697</v>
      </c>
      <c r="G443" t="n">
        <v>2989</v>
      </c>
      <c r="H443" s="23" t="n">
        <v>202275</v>
      </c>
      <c r="I443" s="23" t="n">
        <v>224175</v>
      </c>
      <c r="J443" t="inlineStr">
        <is>
          <t>Oct</t>
        </is>
      </c>
      <c r="K443" t="n">
        <v>10</v>
      </c>
      <c r="L443" t="inlineStr">
        <is>
          <t>Q4</t>
        </is>
      </c>
      <c r="M443" t="n">
        <v>2024</v>
      </c>
      <c r="N443" s="22" t="n">
        <v>45566</v>
      </c>
      <c r="O443" s="24" t="n">
        <v>0.9023084643693543</v>
      </c>
      <c r="P443" s="23" t="n">
        <v>-21900</v>
      </c>
    </row>
    <row r="444">
      <c r="A444" t="inlineStr">
        <is>
          <t>Panadol 500 MG</t>
        </is>
      </c>
      <c r="B444" t="inlineStr">
        <is>
          <t>Sharqia 1</t>
        </is>
      </c>
      <c r="C444" s="22" t="n">
        <v>45597</v>
      </c>
      <c r="D444" t="inlineStr">
        <is>
          <t>Sara Ibrahim</t>
        </is>
      </c>
      <c r="E444" t="n">
        <v>75</v>
      </c>
      <c r="F444" t="n">
        <v>3201</v>
      </c>
      <c r="G444" t="n">
        <v>3189</v>
      </c>
      <c r="H444" s="23" t="n">
        <v>240075</v>
      </c>
      <c r="I444" s="23" t="n">
        <v>239175</v>
      </c>
      <c r="J444" t="inlineStr">
        <is>
          <t>Nov</t>
        </is>
      </c>
      <c r="K444" t="n">
        <v>11</v>
      </c>
      <c r="L444" t="inlineStr">
        <is>
          <t>Q4</t>
        </is>
      </c>
      <c r="M444" t="n">
        <v>2024</v>
      </c>
      <c r="N444" s="22" t="n">
        <v>45597</v>
      </c>
      <c r="O444" s="24" t="n">
        <v>1.00376293508937</v>
      </c>
      <c r="P444" s="23" t="n">
        <v>900</v>
      </c>
    </row>
    <row r="445">
      <c r="A445" t="inlineStr">
        <is>
          <t>Panadol 500 MG</t>
        </is>
      </c>
      <c r="B445" t="inlineStr">
        <is>
          <t>Sharqia 1</t>
        </is>
      </c>
      <c r="C445" s="22" t="n">
        <v>45627</v>
      </c>
      <c r="D445" t="inlineStr">
        <is>
          <t>Sara Ibrahim</t>
        </is>
      </c>
      <c r="E445" t="n">
        <v>75</v>
      </c>
      <c r="F445" t="n">
        <v>2101</v>
      </c>
      <c r="G445" t="n">
        <v>2394</v>
      </c>
      <c r="H445" s="23" t="n">
        <v>157575</v>
      </c>
      <c r="I445" s="23" t="n">
        <v>179550</v>
      </c>
      <c r="J445" t="inlineStr">
        <is>
          <t>Dec</t>
        </is>
      </c>
      <c r="K445" t="n">
        <v>12</v>
      </c>
      <c r="L445" t="inlineStr">
        <is>
          <t>Q4</t>
        </is>
      </c>
      <c r="M445" t="n">
        <v>2024</v>
      </c>
      <c r="N445" s="22" t="n">
        <v>45627</v>
      </c>
      <c r="O445" s="24" t="n">
        <v>0.8776106934001671</v>
      </c>
      <c r="P445" s="23" t="n">
        <v>-21975</v>
      </c>
    </row>
    <row r="446">
      <c r="A446" t="inlineStr">
        <is>
          <t>Panadol 500 MG</t>
        </is>
      </c>
      <c r="B446" t="inlineStr">
        <is>
          <t>Sharqia 2</t>
        </is>
      </c>
      <c r="C446" s="22" t="n">
        <v>45292</v>
      </c>
      <c r="D446" t="inlineStr">
        <is>
          <t>Youssef Farouk</t>
        </is>
      </c>
      <c r="E446" t="n">
        <v>75</v>
      </c>
      <c r="F446" t="n">
        <v>1973</v>
      </c>
      <c r="G446" t="n">
        <v>2103</v>
      </c>
      <c r="H446" s="23" t="n">
        <v>147975</v>
      </c>
      <c r="I446" s="23" t="n">
        <v>157725</v>
      </c>
      <c r="J446" t="inlineStr">
        <is>
          <t>Jan</t>
        </is>
      </c>
      <c r="K446" t="n">
        <v>1</v>
      </c>
      <c r="L446" t="inlineStr">
        <is>
          <t>Q1</t>
        </is>
      </c>
      <c r="M446" t="n">
        <v>2024</v>
      </c>
      <c r="N446" s="22" t="n">
        <v>45292</v>
      </c>
      <c r="O446" s="24" t="n">
        <v>0.9381835473133618</v>
      </c>
      <c r="P446" s="23" t="n">
        <v>-9750</v>
      </c>
    </row>
    <row r="447">
      <c r="A447" t="inlineStr">
        <is>
          <t>Panadol 500 MG</t>
        </is>
      </c>
      <c r="B447" t="inlineStr">
        <is>
          <t>Sharqia 2</t>
        </is>
      </c>
      <c r="C447" s="22" t="n">
        <v>45323</v>
      </c>
      <c r="D447" t="inlineStr">
        <is>
          <t>Youssef Farouk</t>
        </is>
      </c>
      <c r="E447" t="n">
        <v>75</v>
      </c>
      <c r="F447" t="n">
        <v>3873</v>
      </c>
      <c r="G447" t="n">
        <v>2500</v>
      </c>
      <c r="H447" s="23" t="n">
        <v>290475</v>
      </c>
      <c r="I447" s="23" t="n">
        <v>187500</v>
      </c>
      <c r="J447" t="inlineStr">
        <is>
          <t>Feb</t>
        </is>
      </c>
      <c r="K447" t="n">
        <v>2</v>
      </c>
      <c r="L447" t="inlineStr">
        <is>
          <t>Q1</t>
        </is>
      </c>
      <c r="M447" t="n">
        <v>2024</v>
      </c>
      <c r="N447" s="22" t="n">
        <v>45323</v>
      </c>
      <c r="O447" s="24" t="n">
        <v>1.5492</v>
      </c>
      <c r="P447" s="23" t="n">
        <v>102975</v>
      </c>
    </row>
    <row r="448">
      <c r="A448" t="inlineStr">
        <is>
          <t>Panadol 500 MG</t>
        </is>
      </c>
      <c r="B448" t="inlineStr">
        <is>
          <t>Sharqia 2</t>
        </is>
      </c>
      <c r="C448" s="22" t="n">
        <v>45352</v>
      </c>
      <c r="D448" t="inlineStr">
        <is>
          <t>Youssef Farouk</t>
        </is>
      </c>
      <c r="E448" t="n">
        <v>75</v>
      </c>
      <c r="F448" t="n">
        <v>3345</v>
      </c>
      <c r="G448" t="n">
        <v>3933</v>
      </c>
      <c r="H448" s="23" t="n">
        <v>250875</v>
      </c>
      <c r="I448" s="23" t="n">
        <v>294975</v>
      </c>
      <c r="J448" t="inlineStr">
        <is>
          <t>Mar</t>
        </is>
      </c>
      <c r="K448" t="n">
        <v>3</v>
      </c>
      <c r="L448" t="inlineStr">
        <is>
          <t>Q1</t>
        </is>
      </c>
      <c r="M448" t="n">
        <v>2024</v>
      </c>
      <c r="N448" s="22" t="n">
        <v>45352</v>
      </c>
      <c r="O448" s="24" t="n">
        <v>0.8504958047292144</v>
      </c>
      <c r="P448" s="23" t="n">
        <v>-44100</v>
      </c>
    </row>
    <row r="449">
      <c r="A449" t="inlineStr">
        <is>
          <t>Panadol 500 MG</t>
        </is>
      </c>
      <c r="B449" t="inlineStr">
        <is>
          <t>Sharqia 2</t>
        </is>
      </c>
      <c r="C449" s="22" t="n">
        <v>45383</v>
      </c>
      <c r="D449" t="inlineStr">
        <is>
          <t>Youssef Farouk</t>
        </is>
      </c>
      <c r="E449" t="n">
        <v>75</v>
      </c>
      <c r="F449" t="n">
        <v>2832</v>
      </c>
      <c r="G449" t="n">
        <v>3043</v>
      </c>
      <c r="H449" s="23" t="n">
        <v>212400</v>
      </c>
      <c r="I449" s="23" t="n">
        <v>228225</v>
      </c>
      <c r="J449" t="inlineStr">
        <is>
          <t>Apr</t>
        </is>
      </c>
      <c r="K449" t="n">
        <v>4</v>
      </c>
      <c r="L449" t="inlineStr">
        <is>
          <t>Q2</t>
        </is>
      </c>
      <c r="M449" t="n">
        <v>2024</v>
      </c>
      <c r="N449" s="22" t="n">
        <v>45383</v>
      </c>
      <c r="O449" s="24" t="n">
        <v>0.9306605323693723</v>
      </c>
      <c r="P449" s="23" t="n">
        <v>-15825</v>
      </c>
    </row>
    <row r="450">
      <c r="A450" t="inlineStr">
        <is>
          <t>Panadol 500 MG</t>
        </is>
      </c>
      <c r="B450" t="inlineStr">
        <is>
          <t>Sharqia 2</t>
        </is>
      </c>
      <c r="C450" s="22" t="n">
        <v>45413</v>
      </c>
      <c r="D450" t="inlineStr">
        <is>
          <t>Youssef Farouk</t>
        </is>
      </c>
      <c r="E450" t="n">
        <v>75</v>
      </c>
      <c r="F450" t="n">
        <v>2555</v>
      </c>
      <c r="G450" t="n">
        <v>2349</v>
      </c>
      <c r="H450" s="23" t="n">
        <v>191625</v>
      </c>
      <c r="I450" s="23" t="n">
        <v>176175</v>
      </c>
      <c r="J450" t="inlineStr">
        <is>
          <t>May</t>
        </is>
      </c>
      <c r="K450" t="n">
        <v>5</v>
      </c>
      <c r="L450" t="inlineStr">
        <is>
          <t>Q2</t>
        </is>
      </c>
      <c r="M450" t="n">
        <v>2024</v>
      </c>
      <c r="N450" s="22" t="n">
        <v>45413</v>
      </c>
      <c r="O450" s="24" t="n">
        <v>1.087696892294594</v>
      </c>
      <c r="P450" s="23" t="n">
        <v>15450</v>
      </c>
    </row>
    <row r="451">
      <c r="A451" t="inlineStr">
        <is>
          <t>Panadol 500 MG</t>
        </is>
      </c>
      <c r="B451" t="inlineStr">
        <is>
          <t>Sharqia 2</t>
        </is>
      </c>
      <c r="C451" s="22" t="n">
        <v>45444</v>
      </c>
      <c r="D451" t="inlineStr">
        <is>
          <t>Youssef Farouk</t>
        </is>
      </c>
      <c r="E451" t="n">
        <v>75</v>
      </c>
      <c r="F451" t="n">
        <v>1962</v>
      </c>
      <c r="G451" t="n">
        <v>2298</v>
      </c>
      <c r="H451" s="23" t="n">
        <v>147150</v>
      </c>
      <c r="I451" s="23" t="n">
        <v>172350</v>
      </c>
      <c r="J451" t="inlineStr">
        <is>
          <t>Jun</t>
        </is>
      </c>
      <c r="K451" t="n">
        <v>6</v>
      </c>
      <c r="L451" t="inlineStr">
        <is>
          <t>Q2</t>
        </is>
      </c>
      <c r="M451" t="n">
        <v>2024</v>
      </c>
      <c r="N451" s="22" t="n">
        <v>45444</v>
      </c>
      <c r="O451" s="24" t="n">
        <v>0.8537859007832899</v>
      </c>
      <c r="P451" s="23" t="n">
        <v>-25200</v>
      </c>
    </row>
    <row r="452">
      <c r="A452" t="inlineStr">
        <is>
          <t>Panadol 500 MG</t>
        </is>
      </c>
      <c r="B452" t="inlineStr">
        <is>
          <t>Sharqia 2</t>
        </is>
      </c>
      <c r="C452" s="22" t="n">
        <v>45474</v>
      </c>
      <c r="D452" t="inlineStr">
        <is>
          <t>Youssef Farouk</t>
        </is>
      </c>
      <c r="E452" t="n">
        <v>75</v>
      </c>
      <c r="F452" t="n">
        <v>3813</v>
      </c>
      <c r="G452" t="n">
        <v>3903</v>
      </c>
      <c r="H452" s="23" t="n">
        <v>285975</v>
      </c>
      <c r="I452" s="23" t="n">
        <v>292725</v>
      </c>
      <c r="J452" t="inlineStr">
        <is>
          <t>Jul</t>
        </is>
      </c>
      <c r="K452" t="n">
        <v>7</v>
      </c>
      <c r="L452" t="inlineStr">
        <is>
          <t>Q3</t>
        </is>
      </c>
      <c r="M452" t="n">
        <v>2024</v>
      </c>
      <c r="N452" s="22" t="n">
        <v>45474</v>
      </c>
      <c r="O452" s="24" t="n">
        <v>0.9769408147578785</v>
      </c>
      <c r="P452" s="23" t="n">
        <v>-6750</v>
      </c>
    </row>
    <row r="453">
      <c r="A453" t="inlineStr">
        <is>
          <t>Panadol 500 MG</t>
        </is>
      </c>
      <c r="B453" t="inlineStr">
        <is>
          <t>Sharqia 2</t>
        </is>
      </c>
      <c r="C453" s="22" t="n">
        <v>45505</v>
      </c>
      <c r="D453" t="inlineStr">
        <is>
          <t>Youssef Farouk</t>
        </is>
      </c>
      <c r="E453" t="n">
        <v>75</v>
      </c>
      <c r="F453" t="n">
        <v>3068</v>
      </c>
      <c r="G453" t="n">
        <v>3449</v>
      </c>
      <c r="H453" s="23" t="n">
        <v>230100</v>
      </c>
      <c r="I453" s="23" t="n">
        <v>258675</v>
      </c>
      <c r="J453" t="inlineStr">
        <is>
          <t>Aug</t>
        </is>
      </c>
      <c r="K453" t="n">
        <v>8</v>
      </c>
      <c r="L453" t="inlineStr">
        <is>
          <t>Q3</t>
        </is>
      </c>
      <c r="M453" t="n">
        <v>2024</v>
      </c>
      <c r="N453" s="22" t="n">
        <v>45505</v>
      </c>
      <c r="O453" s="24" t="n">
        <v>0.889533198028414</v>
      </c>
      <c r="P453" s="23" t="n">
        <v>-28575</v>
      </c>
    </row>
    <row r="454">
      <c r="A454" t="inlineStr">
        <is>
          <t>Panadol 500 MG</t>
        </is>
      </c>
      <c r="B454" t="inlineStr">
        <is>
          <t>Sharqia 2</t>
        </is>
      </c>
      <c r="C454" s="22" t="n">
        <v>45536</v>
      </c>
      <c r="D454" t="inlineStr">
        <is>
          <t>Youssef Farouk</t>
        </is>
      </c>
      <c r="E454" t="n">
        <v>75</v>
      </c>
      <c r="F454" t="n">
        <v>3554</v>
      </c>
      <c r="G454" t="n">
        <v>3253</v>
      </c>
      <c r="H454" s="23" t="n">
        <v>266550</v>
      </c>
      <c r="I454" s="23" t="n">
        <v>243975</v>
      </c>
      <c r="J454" t="inlineStr">
        <is>
          <t>Sep</t>
        </is>
      </c>
      <c r="K454" t="n">
        <v>9</v>
      </c>
      <c r="L454" t="inlineStr">
        <is>
          <t>Q3</t>
        </is>
      </c>
      <c r="M454" t="n">
        <v>2024</v>
      </c>
      <c r="N454" s="22" t="n">
        <v>45536</v>
      </c>
      <c r="O454" s="24" t="n">
        <v>1.092529972333231</v>
      </c>
      <c r="P454" s="23" t="n">
        <v>22575</v>
      </c>
    </row>
    <row r="455">
      <c r="A455" t="inlineStr">
        <is>
          <t>Panadol 500 MG</t>
        </is>
      </c>
      <c r="B455" t="inlineStr">
        <is>
          <t>Sharqia 2</t>
        </is>
      </c>
      <c r="C455" s="22" t="n">
        <v>45566</v>
      </c>
      <c r="D455" t="inlineStr">
        <is>
          <t>Youssef Farouk</t>
        </is>
      </c>
      <c r="E455" t="n">
        <v>75</v>
      </c>
      <c r="F455" t="n">
        <v>3461</v>
      </c>
      <c r="G455" t="n">
        <v>3354</v>
      </c>
      <c r="H455" s="23" t="n">
        <v>259575</v>
      </c>
      <c r="I455" s="23" t="n">
        <v>251550</v>
      </c>
      <c r="J455" t="inlineStr">
        <is>
          <t>Oct</t>
        </is>
      </c>
      <c r="K455" t="n">
        <v>10</v>
      </c>
      <c r="L455" t="inlineStr">
        <is>
          <t>Q4</t>
        </is>
      </c>
      <c r="M455" t="n">
        <v>2024</v>
      </c>
      <c r="N455" s="22" t="n">
        <v>45566</v>
      </c>
      <c r="O455" s="24" t="n">
        <v>1.031902206320811</v>
      </c>
      <c r="P455" s="23" t="n">
        <v>8025</v>
      </c>
    </row>
    <row r="456">
      <c r="A456" t="inlineStr">
        <is>
          <t>Panadol 500 MG</t>
        </is>
      </c>
      <c r="B456" t="inlineStr">
        <is>
          <t>Sharqia 2</t>
        </is>
      </c>
      <c r="C456" s="22" t="n">
        <v>45597</v>
      </c>
      <c r="D456" t="inlineStr">
        <is>
          <t>Youssef Farouk</t>
        </is>
      </c>
      <c r="E456" t="n">
        <v>75</v>
      </c>
      <c r="F456" t="n">
        <v>3909</v>
      </c>
      <c r="G456" t="n">
        <v>3755</v>
      </c>
      <c r="H456" s="23" t="n">
        <v>293175</v>
      </c>
      <c r="I456" s="23" t="n">
        <v>281625</v>
      </c>
      <c r="J456" t="inlineStr">
        <is>
          <t>Nov</t>
        </is>
      </c>
      <c r="K456" t="n">
        <v>11</v>
      </c>
      <c r="L456" t="inlineStr">
        <is>
          <t>Q4</t>
        </is>
      </c>
      <c r="M456" t="n">
        <v>2024</v>
      </c>
      <c r="N456" s="22" t="n">
        <v>45597</v>
      </c>
      <c r="O456" s="24" t="n">
        <v>1.041011984021305</v>
      </c>
      <c r="P456" s="23" t="n">
        <v>11550</v>
      </c>
    </row>
    <row r="457">
      <c r="A457" t="inlineStr">
        <is>
          <t>Panadol 500 MG</t>
        </is>
      </c>
      <c r="B457" t="inlineStr">
        <is>
          <t>Sharqia 2</t>
        </is>
      </c>
      <c r="C457" s="22" t="n">
        <v>45627</v>
      </c>
      <c r="D457" t="inlineStr">
        <is>
          <t>Youssef Farouk</t>
        </is>
      </c>
      <c r="E457" t="n">
        <v>75</v>
      </c>
      <c r="F457" t="n">
        <v>2588</v>
      </c>
      <c r="G457" t="n">
        <v>2947</v>
      </c>
      <c r="H457" s="23" t="n">
        <v>194100</v>
      </c>
      <c r="I457" s="23" t="n">
        <v>221025</v>
      </c>
      <c r="J457" t="inlineStr">
        <is>
          <t>Dec</t>
        </is>
      </c>
      <c r="K457" t="n">
        <v>12</v>
      </c>
      <c r="L457" t="inlineStr">
        <is>
          <t>Q4</t>
        </is>
      </c>
      <c r="M457" t="n">
        <v>2024</v>
      </c>
      <c r="N457" s="22" t="n">
        <v>45627</v>
      </c>
      <c r="O457" s="24" t="n">
        <v>0.8781812012215813</v>
      </c>
      <c r="P457" s="23" t="n">
        <v>-26925</v>
      </c>
    </row>
    <row r="458">
      <c r="A458" t="inlineStr">
        <is>
          <t>Glucophage 1000 MG</t>
        </is>
      </c>
      <c r="B458" t="inlineStr">
        <is>
          <t>Alexandria 1</t>
        </is>
      </c>
      <c r="C458" s="22" t="n">
        <v>45292</v>
      </c>
      <c r="D458" t="inlineStr">
        <is>
          <t>Ahmed Hassan</t>
        </is>
      </c>
      <c r="E458" t="n">
        <v>126</v>
      </c>
      <c r="F458" t="n">
        <v>2883</v>
      </c>
      <c r="G458" t="n">
        <v>3123</v>
      </c>
      <c r="H458" s="23" t="n">
        <v>363258</v>
      </c>
      <c r="I458" s="23" t="n">
        <v>393498</v>
      </c>
      <c r="J458" t="inlineStr">
        <is>
          <t>Jan</t>
        </is>
      </c>
      <c r="K458" t="n">
        <v>1</v>
      </c>
      <c r="L458" t="inlineStr">
        <is>
          <t>Q1</t>
        </is>
      </c>
      <c r="M458" t="n">
        <v>2024</v>
      </c>
      <c r="N458" s="22" t="n">
        <v>45292</v>
      </c>
      <c r="O458" s="24" t="n">
        <v>0.9231508165225745</v>
      </c>
      <c r="P458" s="23" t="n">
        <v>-30240</v>
      </c>
    </row>
    <row r="459">
      <c r="A459" t="inlineStr">
        <is>
          <t>Glucophage 1000 MG</t>
        </is>
      </c>
      <c r="B459" t="inlineStr">
        <is>
          <t>Alexandria 1</t>
        </is>
      </c>
      <c r="C459" s="22" t="n">
        <v>45323</v>
      </c>
      <c r="D459" t="inlineStr">
        <is>
          <t>Ahmed Hassan</t>
        </is>
      </c>
      <c r="E459" t="n">
        <v>126</v>
      </c>
      <c r="F459" t="n">
        <v>2910</v>
      </c>
      <c r="G459" t="n">
        <v>3184</v>
      </c>
      <c r="H459" s="23" t="n">
        <v>366660</v>
      </c>
      <c r="I459" s="23" t="n">
        <v>401184</v>
      </c>
      <c r="J459" t="inlineStr">
        <is>
          <t>Feb</t>
        </is>
      </c>
      <c r="K459" t="n">
        <v>2</v>
      </c>
      <c r="L459" t="inlineStr">
        <is>
          <t>Q1</t>
        </is>
      </c>
      <c r="M459" t="n">
        <v>2024</v>
      </c>
      <c r="N459" s="22" t="n">
        <v>45323</v>
      </c>
      <c r="O459" s="24" t="n">
        <v>0.9139447236180904</v>
      </c>
      <c r="P459" s="23" t="n">
        <v>-34524</v>
      </c>
    </row>
    <row r="460">
      <c r="A460" t="inlineStr">
        <is>
          <t>Glucophage 1000 MG</t>
        </is>
      </c>
      <c r="B460" t="inlineStr">
        <is>
          <t>Alexandria 1</t>
        </is>
      </c>
      <c r="C460" s="22" t="n">
        <v>45352</v>
      </c>
      <c r="D460" t="inlineStr">
        <is>
          <t>Ahmed Hassan</t>
        </is>
      </c>
      <c r="E460" t="n">
        <v>126</v>
      </c>
      <c r="F460" t="n">
        <v>3646</v>
      </c>
      <c r="G460" t="n">
        <v>2500</v>
      </c>
      <c r="H460" s="23" t="n">
        <v>459396</v>
      </c>
      <c r="I460" s="23" t="n">
        <v>315000</v>
      </c>
      <c r="J460" t="inlineStr">
        <is>
          <t>Mar</t>
        </is>
      </c>
      <c r="K460" t="n">
        <v>3</v>
      </c>
      <c r="L460" t="inlineStr">
        <is>
          <t>Q1</t>
        </is>
      </c>
      <c r="M460" t="n">
        <v>2024</v>
      </c>
      <c r="N460" s="22" t="n">
        <v>45352</v>
      </c>
      <c r="O460" s="24" t="n">
        <v>1.4584</v>
      </c>
      <c r="P460" s="23" t="n">
        <v>144396</v>
      </c>
    </row>
    <row r="461">
      <c r="A461" t="inlineStr">
        <is>
          <t>Glucophage 1000 MG</t>
        </is>
      </c>
      <c r="B461" t="inlineStr">
        <is>
          <t>Alexandria 1</t>
        </is>
      </c>
      <c r="C461" s="22" t="n">
        <v>45383</v>
      </c>
      <c r="D461" t="inlineStr">
        <is>
          <t>Ahmed Hassan</t>
        </is>
      </c>
      <c r="E461" t="n">
        <v>126</v>
      </c>
      <c r="F461" t="n">
        <v>2942</v>
      </c>
      <c r="G461" t="n">
        <v>2775</v>
      </c>
      <c r="H461" s="23" t="n">
        <v>370692</v>
      </c>
      <c r="I461" s="23" t="n">
        <v>349650</v>
      </c>
      <c r="J461" t="inlineStr">
        <is>
          <t>Apr</t>
        </is>
      </c>
      <c r="K461" t="n">
        <v>4</v>
      </c>
      <c r="L461" t="inlineStr">
        <is>
          <t>Q2</t>
        </is>
      </c>
      <c r="M461" t="n">
        <v>2024</v>
      </c>
      <c r="N461" s="22" t="n">
        <v>45383</v>
      </c>
      <c r="O461" s="24" t="n">
        <v>1.06018018018018</v>
      </c>
      <c r="P461" s="23" t="n">
        <v>21042</v>
      </c>
    </row>
    <row r="462">
      <c r="A462" t="inlineStr">
        <is>
          <t>Glucophage 1000 MG</t>
        </is>
      </c>
      <c r="B462" t="inlineStr">
        <is>
          <t>Alexandria 1</t>
        </is>
      </c>
      <c r="C462" s="22" t="n">
        <v>45413</v>
      </c>
      <c r="D462" t="inlineStr">
        <is>
          <t>Ahmed Hassan</t>
        </is>
      </c>
      <c r="E462" t="n">
        <v>126</v>
      </c>
      <c r="F462" t="n">
        <v>2256</v>
      </c>
      <c r="G462" t="n">
        <v>2269</v>
      </c>
      <c r="H462" s="23" t="n">
        <v>284256</v>
      </c>
      <c r="I462" s="23" t="n">
        <v>285894</v>
      </c>
      <c r="J462" t="inlineStr">
        <is>
          <t>May</t>
        </is>
      </c>
      <c r="K462" t="n">
        <v>5</v>
      </c>
      <c r="L462" t="inlineStr">
        <is>
          <t>Q2</t>
        </is>
      </c>
      <c r="M462" t="n">
        <v>2024</v>
      </c>
      <c r="N462" s="22" t="n">
        <v>45413</v>
      </c>
      <c r="O462" s="24" t="n">
        <v>0.9942706037902159</v>
      </c>
      <c r="P462" s="23" t="n">
        <v>-1638</v>
      </c>
    </row>
    <row r="463">
      <c r="A463" t="inlineStr">
        <is>
          <t>Glucophage 1000 MG</t>
        </is>
      </c>
      <c r="B463" t="inlineStr">
        <is>
          <t>Alexandria 1</t>
        </is>
      </c>
      <c r="C463" s="22" t="n">
        <v>45444</v>
      </c>
      <c r="D463" t="inlineStr">
        <is>
          <t>Ahmed Hassan</t>
        </is>
      </c>
      <c r="E463" t="n">
        <v>126</v>
      </c>
      <c r="F463" t="n">
        <v>3345</v>
      </c>
      <c r="G463" t="n">
        <v>3180</v>
      </c>
      <c r="H463" s="23" t="n">
        <v>421470</v>
      </c>
      <c r="I463" s="23" t="n">
        <v>400680</v>
      </c>
      <c r="J463" t="inlineStr">
        <is>
          <t>Jun</t>
        </is>
      </c>
      <c r="K463" t="n">
        <v>6</v>
      </c>
      <c r="L463" t="inlineStr">
        <is>
          <t>Q2</t>
        </is>
      </c>
      <c r="M463" t="n">
        <v>2024</v>
      </c>
      <c r="N463" s="22" t="n">
        <v>45444</v>
      </c>
      <c r="O463" s="24" t="n">
        <v>1.05188679245283</v>
      </c>
      <c r="P463" s="23" t="n">
        <v>20790</v>
      </c>
    </row>
    <row r="464">
      <c r="A464" t="inlineStr">
        <is>
          <t>Glucophage 1000 MG</t>
        </is>
      </c>
      <c r="B464" t="inlineStr">
        <is>
          <t>Alexandria 1</t>
        </is>
      </c>
      <c r="C464" s="22" t="n">
        <v>45474</v>
      </c>
      <c r="D464" t="inlineStr">
        <is>
          <t>Ahmed Hassan</t>
        </is>
      </c>
      <c r="E464" t="n">
        <v>126</v>
      </c>
      <c r="F464" t="n">
        <v>3302</v>
      </c>
      <c r="G464" t="n">
        <v>3051</v>
      </c>
      <c r="H464" s="23" t="n">
        <v>416052</v>
      </c>
      <c r="I464" s="23" t="n">
        <v>384426</v>
      </c>
      <c r="J464" t="inlineStr">
        <is>
          <t>Jul</t>
        </is>
      </c>
      <c r="K464" t="n">
        <v>7</v>
      </c>
      <c r="L464" t="inlineStr">
        <is>
          <t>Q3</t>
        </is>
      </c>
      <c r="M464" t="n">
        <v>2024</v>
      </c>
      <c r="N464" s="22" t="n">
        <v>45474</v>
      </c>
      <c r="O464" s="24" t="n">
        <v>1.082268108816781</v>
      </c>
      <c r="P464" s="23" t="n">
        <v>31626</v>
      </c>
    </row>
    <row r="465">
      <c r="A465" t="inlineStr">
        <is>
          <t>Glucophage 1000 MG</t>
        </is>
      </c>
      <c r="B465" t="inlineStr">
        <is>
          <t>Alexandria 1</t>
        </is>
      </c>
      <c r="C465" s="22" t="n">
        <v>45505</v>
      </c>
      <c r="D465" t="inlineStr">
        <is>
          <t>Ahmed Hassan</t>
        </is>
      </c>
      <c r="E465" t="n">
        <v>126</v>
      </c>
      <c r="F465" t="n">
        <v>3176</v>
      </c>
      <c r="G465" t="n">
        <v>3028</v>
      </c>
      <c r="H465" s="23" t="n">
        <v>400176</v>
      </c>
      <c r="I465" s="23" t="n">
        <v>381528</v>
      </c>
      <c r="J465" t="inlineStr">
        <is>
          <t>Aug</t>
        </is>
      </c>
      <c r="K465" t="n">
        <v>8</v>
      </c>
      <c r="L465" t="inlineStr">
        <is>
          <t>Q3</t>
        </is>
      </c>
      <c r="M465" t="n">
        <v>2024</v>
      </c>
      <c r="N465" s="22" t="n">
        <v>45505</v>
      </c>
      <c r="O465" s="24" t="n">
        <v>1.04887714663144</v>
      </c>
      <c r="P465" s="23" t="n">
        <v>18648</v>
      </c>
    </row>
    <row r="466">
      <c r="A466" t="inlineStr">
        <is>
          <t>Glucophage 1000 MG</t>
        </is>
      </c>
      <c r="B466" t="inlineStr">
        <is>
          <t>Alexandria 1</t>
        </is>
      </c>
      <c r="C466" s="22" t="n">
        <v>45536</v>
      </c>
      <c r="D466" t="inlineStr">
        <is>
          <t>Ahmed Hassan</t>
        </is>
      </c>
      <c r="E466" t="n">
        <v>126</v>
      </c>
      <c r="F466" t="n">
        <v>3607</v>
      </c>
      <c r="G466" t="n">
        <v>3430</v>
      </c>
      <c r="H466" s="23" t="n">
        <v>454482</v>
      </c>
      <c r="I466" s="23" t="n">
        <v>432180</v>
      </c>
      <c r="J466" t="inlineStr">
        <is>
          <t>Sep</t>
        </is>
      </c>
      <c r="K466" t="n">
        <v>9</v>
      </c>
      <c r="L466" t="inlineStr">
        <is>
          <t>Q3</t>
        </is>
      </c>
      <c r="M466" t="n">
        <v>2024</v>
      </c>
      <c r="N466" s="22" t="n">
        <v>45536</v>
      </c>
      <c r="O466" s="24" t="n">
        <v>1.051603498542274</v>
      </c>
      <c r="P466" s="23" t="n">
        <v>22302</v>
      </c>
    </row>
    <row r="467">
      <c r="A467" t="inlineStr">
        <is>
          <t>Glucophage 1000 MG</t>
        </is>
      </c>
      <c r="B467" t="inlineStr">
        <is>
          <t>Alexandria 1</t>
        </is>
      </c>
      <c r="C467" s="22" t="n">
        <v>45566</v>
      </c>
      <c r="D467" t="inlineStr">
        <is>
          <t>Ahmed Hassan</t>
        </is>
      </c>
      <c r="E467" t="n">
        <v>126</v>
      </c>
      <c r="F467" t="n">
        <v>3334</v>
      </c>
      <c r="G467" t="n">
        <v>3363</v>
      </c>
      <c r="H467" s="23" t="n">
        <v>420084</v>
      </c>
      <c r="I467" s="23" t="n">
        <v>423738</v>
      </c>
      <c r="J467" t="inlineStr">
        <is>
          <t>Oct</t>
        </is>
      </c>
      <c r="K467" t="n">
        <v>10</v>
      </c>
      <c r="L467" t="inlineStr">
        <is>
          <t>Q4</t>
        </is>
      </c>
      <c r="M467" t="n">
        <v>2024</v>
      </c>
      <c r="N467" s="22" t="n">
        <v>45566</v>
      </c>
      <c r="O467" s="24" t="n">
        <v>0.9913767469521261</v>
      </c>
      <c r="P467" s="23" t="n">
        <v>-3654</v>
      </c>
    </row>
    <row r="468">
      <c r="A468" t="inlineStr">
        <is>
          <t>Glucophage 1000 MG</t>
        </is>
      </c>
      <c r="B468" t="inlineStr">
        <is>
          <t>Alexandria 1</t>
        </is>
      </c>
      <c r="C468" s="22" t="n">
        <v>45597</v>
      </c>
      <c r="D468" t="inlineStr">
        <is>
          <t>Ahmed Hassan</t>
        </is>
      </c>
      <c r="E468" t="n">
        <v>126</v>
      </c>
      <c r="F468" t="n">
        <v>2510</v>
      </c>
      <c r="G468" t="n">
        <v>2317</v>
      </c>
      <c r="H468" s="23" t="n">
        <v>316260</v>
      </c>
      <c r="I468" s="23" t="n">
        <v>291942</v>
      </c>
      <c r="J468" t="inlineStr">
        <is>
          <t>Nov</t>
        </is>
      </c>
      <c r="K468" t="n">
        <v>11</v>
      </c>
      <c r="L468" t="inlineStr">
        <is>
          <t>Q4</t>
        </is>
      </c>
      <c r="M468" t="n">
        <v>2024</v>
      </c>
      <c r="N468" s="22" t="n">
        <v>45597</v>
      </c>
      <c r="O468" s="24" t="n">
        <v>1.083297367285283</v>
      </c>
      <c r="P468" s="23" t="n">
        <v>24318</v>
      </c>
    </row>
    <row r="469">
      <c r="A469" t="inlineStr">
        <is>
          <t>Glucophage 1000 MG</t>
        </is>
      </c>
      <c r="B469" t="inlineStr">
        <is>
          <t>Alexandria 1</t>
        </is>
      </c>
      <c r="C469" s="22" t="n">
        <v>45627</v>
      </c>
      <c r="D469" t="inlineStr">
        <is>
          <t>Ahmed Hassan</t>
        </is>
      </c>
      <c r="E469" t="n">
        <v>126</v>
      </c>
      <c r="F469" t="n">
        <v>2964</v>
      </c>
      <c r="G469" t="n">
        <v>3136</v>
      </c>
      <c r="H469" s="23" t="n">
        <v>373464</v>
      </c>
      <c r="I469" s="23" t="n">
        <v>395136</v>
      </c>
      <c r="J469" t="inlineStr">
        <is>
          <t>Dec</t>
        </is>
      </c>
      <c r="K469" t="n">
        <v>12</v>
      </c>
      <c r="L469" t="inlineStr">
        <is>
          <t>Q4</t>
        </is>
      </c>
      <c r="M469" t="n">
        <v>2024</v>
      </c>
      <c r="N469" s="22" t="n">
        <v>45627</v>
      </c>
      <c r="O469" s="24" t="n">
        <v>0.9451530612244898</v>
      </c>
      <c r="P469" s="23" t="n">
        <v>-21672</v>
      </c>
    </row>
    <row r="470">
      <c r="A470" t="inlineStr">
        <is>
          <t>Glucophage 1000 MG</t>
        </is>
      </c>
      <c r="B470" t="inlineStr">
        <is>
          <t>Alexandria 2</t>
        </is>
      </c>
      <c r="C470" s="22" t="n">
        <v>45292</v>
      </c>
      <c r="D470" t="inlineStr">
        <is>
          <t>Amira Mostafa</t>
        </is>
      </c>
      <c r="E470" t="n">
        <v>126</v>
      </c>
      <c r="F470" t="n">
        <v>2991</v>
      </c>
      <c r="G470" t="n">
        <v>3471</v>
      </c>
      <c r="H470" s="23" t="n">
        <v>376866</v>
      </c>
      <c r="I470" s="23" t="n">
        <v>437346</v>
      </c>
      <c r="J470" t="inlineStr">
        <is>
          <t>Jan</t>
        </is>
      </c>
      <c r="K470" t="n">
        <v>1</v>
      </c>
      <c r="L470" t="inlineStr">
        <is>
          <t>Q1</t>
        </is>
      </c>
      <c r="M470" t="n">
        <v>2024</v>
      </c>
      <c r="N470" s="22" t="n">
        <v>45292</v>
      </c>
      <c r="O470" s="24" t="n">
        <v>0.8617113223854796</v>
      </c>
      <c r="P470" s="23" t="n">
        <v>-60480</v>
      </c>
    </row>
    <row r="471">
      <c r="A471" t="inlineStr">
        <is>
          <t>Glucophage 1000 MG</t>
        </is>
      </c>
      <c r="B471" t="inlineStr">
        <is>
          <t>Alexandria 2</t>
        </is>
      </c>
      <c r="C471" s="22" t="n">
        <v>45323</v>
      </c>
      <c r="D471" t="inlineStr">
        <is>
          <t>Amira Mostafa</t>
        </is>
      </c>
      <c r="E471" t="n">
        <v>126</v>
      </c>
      <c r="F471" t="n">
        <v>3907</v>
      </c>
      <c r="G471" t="n">
        <v>3658</v>
      </c>
      <c r="H471" s="23" t="n">
        <v>492282</v>
      </c>
      <c r="I471" s="23" t="n">
        <v>460908</v>
      </c>
      <c r="J471" t="inlineStr">
        <is>
          <t>Feb</t>
        </is>
      </c>
      <c r="K471" t="n">
        <v>2</v>
      </c>
      <c r="L471" t="inlineStr">
        <is>
          <t>Q1</t>
        </is>
      </c>
      <c r="M471" t="n">
        <v>2024</v>
      </c>
      <c r="N471" s="22" t="n">
        <v>45323</v>
      </c>
      <c r="O471" s="24" t="n">
        <v>1.068069983597594</v>
      </c>
      <c r="P471" s="23" t="n">
        <v>31374</v>
      </c>
    </row>
    <row r="472">
      <c r="A472" t="inlineStr">
        <is>
          <t>Glucophage 1000 MG</t>
        </is>
      </c>
      <c r="B472" t="inlineStr">
        <is>
          <t>Alexandria 2</t>
        </is>
      </c>
      <c r="C472" s="22" t="n">
        <v>45352</v>
      </c>
      <c r="D472" t="inlineStr">
        <is>
          <t>Amira Mostafa</t>
        </is>
      </c>
      <c r="E472" t="n">
        <v>126</v>
      </c>
      <c r="F472" t="n">
        <v>2841</v>
      </c>
      <c r="G472" t="n">
        <v>2626</v>
      </c>
      <c r="H472" s="23" t="n">
        <v>357966</v>
      </c>
      <c r="I472" s="23" t="n">
        <v>330876</v>
      </c>
      <c r="J472" t="inlineStr">
        <is>
          <t>Mar</t>
        </is>
      </c>
      <c r="K472" t="n">
        <v>3</v>
      </c>
      <c r="L472" t="inlineStr">
        <is>
          <t>Q1</t>
        </is>
      </c>
      <c r="M472" t="n">
        <v>2024</v>
      </c>
      <c r="N472" s="22" t="n">
        <v>45352</v>
      </c>
      <c r="O472" s="24" t="n">
        <v>1.081873571972582</v>
      </c>
      <c r="P472" s="23" t="n">
        <v>27090</v>
      </c>
    </row>
    <row r="473">
      <c r="A473" t="inlineStr">
        <is>
          <t>Glucophage 1000 MG</t>
        </is>
      </c>
      <c r="B473" t="inlineStr">
        <is>
          <t>Alexandria 2</t>
        </is>
      </c>
      <c r="C473" s="22" t="n">
        <v>45383</v>
      </c>
      <c r="D473" t="inlineStr">
        <is>
          <t>Amira Mostafa</t>
        </is>
      </c>
      <c r="E473" t="n">
        <v>126</v>
      </c>
      <c r="F473" t="n">
        <v>3132</v>
      </c>
      <c r="G473" t="n">
        <v>2957</v>
      </c>
      <c r="H473" s="23" t="n">
        <v>394632</v>
      </c>
      <c r="I473" s="23" t="n">
        <v>372582</v>
      </c>
      <c r="J473" t="inlineStr">
        <is>
          <t>Apr</t>
        </is>
      </c>
      <c r="K473" t="n">
        <v>4</v>
      </c>
      <c r="L473" t="inlineStr">
        <is>
          <t>Q2</t>
        </is>
      </c>
      <c r="M473" t="n">
        <v>2024</v>
      </c>
      <c r="N473" s="22" t="n">
        <v>45383</v>
      </c>
      <c r="O473" s="24" t="n">
        <v>1.059181602975989</v>
      </c>
      <c r="P473" s="23" t="n">
        <v>22050</v>
      </c>
    </row>
    <row r="474">
      <c r="A474" t="inlineStr">
        <is>
          <t>Glucophage 1000 MG</t>
        </is>
      </c>
      <c r="B474" t="inlineStr">
        <is>
          <t>Alexandria 2</t>
        </is>
      </c>
      <c r="C474" s="22" t="n">
        <v>45413</v>
      </c>
      <c r="D474" t="inlineStr">
        <is>
          <t>Amira Mostafa</t>
        </is>
      </c>
      <c r="E474" t="n">
        <v>126</v>
      </c>
      <c r="F474" t="n">
        <v>2138</v>
      </c>
      <c r="G474" t="n">
        <v>2050</v>
      </c>
      <c r="H474" s="23" t="n">
        <v>269388</v>
      </c>
      <c r="I474" s="23" t="n">
        <v>258300</v>
      </c>
      <c r="J474" t="inlineStr">
        <is>
          <t>May</t>
        </is>
      </c>
      <c r="K474" t="n">
        <v>5</v>
      </c>
      <c r="L474" t="inlineStr">
        <is>
          <t>Q2</t>
        </is>
      </c>
      <c r="M474" t="n">
        <v>2024</v>
      </c>
      <c r="N474" s="22" t="n">
        <v>45413</v>
      </c>
      <c r="O474" s="24" t="n">
        <v>1.042926829268293</v>
      </c>
      <c r="P474" s="23" t="n">
        <v>11088</v>
      </c>
    </row>
    <row r="475">
      <c r="A475" t="inlineStr">
        <is>
          <t>Glucophage 1000 MG</t>
        </is>
      </c>
      <c r="B475" t="inlineStr">
        <is>
          <t>Alexandria 2</t>
        </is>
      </c>
      <c r="C475" s="22" t="n">
        <v>45444</v>
      </c>
      <c r="D475" t="inlineStr">
        <is>
          <t>Amira Mostafa</t>
        </is>
      </c>
      <c r="E475" t="n">
        <v>126</v>
      </c>
      <c r="F475" t="n">
        <v>2855</v>
      </c>
      <c r="G475" t="n">
        <v>2660</v>
      </c>
      <c r="H475" s="23" t="n">
        <v>359730</v>
      </c>
      <c r="I475" s="23" t="n">
        <v>335160</v>
      </c>
      <c r="J475" t="inlineStr">
        <is>
          <t>Jun</t>
        </is>
      </c>
      <c r="K475" t="n">
        <v>6</v>
      </c>
      <c r="L475" t="inlineStr">
        <is>
          <t>Q2</t>
        </is>
      </c>
      <c r="M475" t="n">
        <v>2024</v>
      </c>
      <c r="N475" s="22" t="n">
        <v>45444</v>
      </c>
      <c r="O475" s="24" t="n">
        <v>1.073308270676692</v>
      </c>
      <c r="P475" s="23" t="n">
        <v>24570</v>
      </c>
    </row>
    <row r="476">
      <c r="A476" t="inlineStr">
        <is>
          <t>Glucophage 1000 MG</t>
        </is>
      </c>
      <c r="B476" t="inlineStr">
        <is>
          <t>Alexandria 2</t>
        </is>
      </c>
      <c r="C476" s="22" t="n">
        <v>45474</v>
      </c>
      <c r="D476" t="inlineStr">
        <is>
          <t>Amira Mostafa</t>
        </is>
      </c>
      <c r="E476" t="n">
        <v>126</v>
      </c>
      <c r="F476" t="n">
        <v>2761</v>
      </c>
      <c r="G476" t="n">
        <v>2639</v>
      </c>
      <c r="H476" s="23" t="n">
        <v>347886</v>
      </c>
      <c r="I476" s="23" t="n">
        <v>332514</v>
      </c>
      <c r="J476" t="inlineStr">
        <is>
          <t>Jul</t>
        </is>
      </c>
      <c r="K476" t="n">
        <v>7</v>
      </c>
      <c r="L476" t="inlineStr">
        <is>
          <t>Q3</t>
        </is>
      </c>
      <c r="M476" t="n">
        <v>2024</v>
      </c>
      <c r="N476" s="22" t="n">
        <v>45474</v>
      </c>
      <c r="O476" s="24" t="n">
        <v>1.046229632436529</v>
      </c>
      <c r="P476" s="23" t="n">
        <v>15372</v>
      </c>
    </row>
    <row r="477">
      <c r="A477" t="inlineStr">
        <is>
          <t>Glucophage 1000 MG</t>
        </is>
      </c>
      <c r="B477" t="inlineStr">
        <is>
          <t>Alexandria 2</t>
        </is>
      </c>
      <c r="C477" s="22" t="n">
        <v>45505</v>
      </c>
      <c r="D477" t="inlineStr">
        <is>
          <t>Amira Mostafa</t>
        </is>
      </c>
      <c r="E477" t="n">
        <v>126</v>
      </c>
      <c r="F477" t="n">
        <v>2967</v>
      </c>
      <c r="G477" t="n">
        <v>2966</v>
      </c>
      <c r="H477" s="23" t="n">
        <v>373842</v>
      </c>
      <c r="I477" s="23" t="n">
        <v>373716</v>
      </c>
      <c r="J477" t="inlineStr">
        <is>
          <t>Aug</t>
        </is>
      </c>
      <c r="K477" t="n">
        <v>8</v>
      </c>
      <c r="L477" t="inlineStr">
        <is>
          <t>Q3</t>
        </is>
      </c>
      <c r="M477" t="n">
        <v>2024</v>
      </c>
      <c r="N477" s="22" t="n">
        <v>45505</v>
      </c>
      <c r="O477" s="24" t="n">
        <v>1.000337154416723</v>
      </c>
      <c r="P477" s="23" t="n">
        <v>126</v>
      </c>
    </row>
    <row r="478">
      <c r="A478" t="inlineStr">
        <is>
          <t>Glucophage 1000 MG</t>
        </is>
      </c>
      <c r="B478" t="inlineStr">
        <is>
          <t>Alexandria 2</t>
        </is>
      </c>
      <c r="C478" s="22" t="n">
        <v>45536</v>
      </c>
      <c r="D478" t="inlineStr">
        <is>
          <t>Amira Mostafa</t>
        </is>
      </c>
      <c r="E478" t="n">
        <v>126</v>
      </c>
      <c r="F478" t="n">
        <v>2544</v>
      </c>
      <c r="G478" t="n">
        <v>2669</v>
      </c>
      <c r="H478" s="23" t="n">
        <v>320544</v>
      </c>
      <c r="I478" s="23" t="n">
        <v>336294</v>
      </c>
      <c r="J478" t="inlineStr">
        <is>
          <t>Sep</t>
        </is>
      </c>
      <c r="K478" t="n">
        <v>9</v>
      </c>
      <c r="L478" t="inlineStr">
        <is>
          <t>Q3</t>
        </is>
      </c>
      <c r="M478" t="n">
        <v>2024</v>
      </c>
      <c r="N478" s="22" t="n">
        <v>45536</v>
      </c>
      <c r="O478" s="24" t="n">
        <v>0.9531659797677032</v>
      </c>
      <c r="P478" s="23" t="n">
        <v>-15750</v>
      </c>
    </row>
    <row r="479">
      <c r="A479" t="inlineStr">
        <is>
          <t>Glucophage 1000 MG</t>
        </is>
      </c>
      <c r="B479" t="inlineStr">
        <is>
          <t>Alexandria 2</t>
        </is>
      </c>
      <c r="C479" s="22" t="n">
        <v>45566</v>
      </c>
      <c r="D479" t="inlineStr">
        <is>
          <t>Amira Mostafa</t>
        </is>
      </c>
      <c r="E479" t="n">
        <v>126</v>
      </c>
      <c r="F479" t="n">
        <v>3774</v>
      </c>
      <c r="G479" t="n">
        <v>3920</v>
      </c>
      <c r="H479" s="23" t="n">
        <v>475524</v>
      </c>
      <c r="I479" s="23" t="n">
        <v>493920</v>
      </c>
      <c r="J479" t="inlineStr">
        <is>
          <t>Oct</t>
        </is>
      </c>
      <c r="K479" t="n">
        <v>10</v>
      </c>
      <c r="L479" t="inlineStr">
        <is>
          <t>Q4</t>
        </is>
      </c>
      <c r="M479" t="n">
        <v>2024</v>
      </c>
      <c r="N479" s="22" t="n">
        <v>45566</v>
      </c>
      <c r="O479" s="24" t="n">
        <v>0.9627551020408164</v>
      </c>
      <c r="P479" s="23" t="n">
        <v>-18396</v>
      </c>
    </row>
    <row r="480">
      <c r="A480" t="inlineStr">
        <is>
          <t>Glucophage 1000 MG</t>
        </is>
      </c>
      <c r="B480" t="inlineStr">
        <is>
          <t>Alexandria 2</t>
        </is>
      </c>
      <c r="C480" s="22" t="n">
        <v>45597</v>
      </c>
      <c r="D480" t="inlineStr">
        <is>
          <t>Amira Mostafa</t>
        </is>
      </c>
      <c r="E480" t="n">
        <v>126</v>
      </c>
      <c r="F480" t="n">
        <v>3542</v>
      </c>
      <c r="G480" t="n">
        <v>3790</v>
      </c>
      <c r="H480" s="23" t="n">
        <v>446292</v>
      </c>
      <c r="I480" s="23" t="n">
        <v>477540</v>
      </c>
      <c r="J480" t="inlineStr">
        <is>
          <t>Nov</t>
        </is>
      </c>
      <c r="K480" t="n">
        <v>11</v>
      </c>
      <c r="L480" t="inlineStr">
        <is>
          <t>Q4</t>
        </is>
      </c>
      <c r="M480" t="n">
        <v>2024</v>
      </c>
      <c r="N480" s="22" t="n">
        <v>45597</v>
      </c>
      <c r="O480" s="24" t="n">
        <v>0.9345646437994723</v>
      </c>
      <c r="P480" s="23" t="n">
        <v>-31248</v>
      </c>
    </row>
    <row r="481">
      <c r="A481" t="inlineStr">
        <is>
          <t>Glucophage 1000 MG</t>
        </is>
      </c>
      <c r="B481" t="inlineStr">
        <is>
          <t>Alexandria 2</t>
        </is>
      </c>
      <c r="C481" s="22" t="n">
        <v>45627</v>
      </c>
      <c r="D481" t="inlineStr">
        <is>
          <t>Amira Mostafa</t>
        </is>
      </c>
      <c r="E481" t="n">
        <v>126</v>
      </c>
      <c r="F481" t="n">
        <v>2296</v>
      </c>
      <c r="G481" t="n">
        <v>2181</v>
      </c>
      <c r="H481" s="23" t="n">
        <v>289296</v>
      </c>
      <c r="I481" s="23" t="n">
        <v>274806</v>
      </c>
      <c r="J481" t="inlineStr">
        <is>
          <t>Dec</t>
        </is>
      </c>
      <c r="K481" t="n">
        <v>12</v>
      </c>
      <c r="L481" t="inlineStr">
        <is>
          <t>Q4</t>
        </is>
      </c>
      <c r="M481" t="n">
        <v>2024</v>
      </c>
      <c r="N481" s="22" t="n">
        <v>45627</v>
      </c>
      <c r="O481" s="24" t="n">
        <v>1.052728106373223</v>
      </c>
      <c r="P481" s="23" t="n">
        <v>14490</v>
      </c>
    </row>
    <row r="482">
      <c r="A482" t="inlineStr">
        <is>
          <t>Glucophage 1000 MG</t>
        </is>
      </c>
      <c r="B482" t="inlineStr">
        <is>
          <t>Cairo 1</t>
        </is>
      </c>
      <c r="C482" s="22" t="n">
        <v>45292</v>
      </c>
      <c r="D482" t="inlineStr">
        <is>
          <t>Fatma Ali</t>
        </is>
      </c>
      <c r="E482" t="n">
        <v>126</v>
      </c>
      <c r="F482" t="n">
        <v>2266</v>
      </c>
      <c r="G482" t="n">
        <v>2363</v>
      </c>
      <c r="H482" s="23" t="n">
        <v>285516</v>
      </c>
      <c r="I482" s="23" t="n">
        <v>297738</v>
      </c>
      <c r="J482" t="inlineStr">
        <is>
          <t>Jan</t>
        </is>
      </c>
      <c r="K482" t="n">
        <v>1</v>
      </c>
      <c r="L482" t="inlineStr">
        <is>
          <t>Q1</t>
        </is>
      </c>
      <c r="M482" t="n">
        <v>2024</v>
      </c>
      <c r="N482" s="22" t="n">
        <v>45292</v>
      </c>
      <c r="O482" s="24" t="n">
        <v>0.9589504866694879</v>
      </c>
      <c r="P482" s="23" t="n">
        <v>-12222</v>
      </c>
    </row>
    <row r="483">
      <c r="A483" t="inlineStr">
        <is>
          <t>Glucophage 1000 MG</t>
        </is>
      </c>
      <c r="B483" t="inlineStr">
        <is>
          <t>Cairo 1</t>
        </is>
      </c>
      <c r="C483" s="22" t="n">
        <v>45323</v>
      </c>
      <c r="D483" t="inlineStr">
        <is>
          <t>Fatma Ali</t>
        </is>
      </c>
      <c r="E483" t="n">
        <v>126</v>
      </c>
      <c r="F483" t="n">
        <v>3626</v>
      </c>
      <c r="G483" t="n">
        <v>3916</v>
      </c>
      <c r="H483" s="23" t="n">
        <v>456876</v>
      </c>
      <c r="I483" s="23" t="n">
        <v>493416</v>
      </c>
      <c r="J483" t="inlineStr">
        <is>
          <t>Feb</t>
        </is>
      </c>
      <c r="K483" t="n">
        <v>2</v>
      </c>
      <c r="L483" t="inlineStr">
        <is>
          <t>Q1</t>
        </is>
      </c>
      <c r="M483" t="n">
        <v>2024</v>
      </c>
      <c r="N483" s="22" t="n">
        <v>45323</v>
      </c>
      <c r="O483" s="24" t="n">
        <v>0.9259448416751788</v>
      </c>
      <c r="P483" s="23" t="n">
        <v>-36540</v>
      </c>
    </row>
    <row r="484">
      <c r="A484" t="inlineStr">
        <is>
          <t>Glucophage 1000 MG</t>
        </is>
      </c>
      <c r="B484" t="inlineStr">
        <is>
          <t>Cairo 1</t>
        </is>
      </c>
      <c r="C484" s="22" t="n">
        <v>45352</v>
      </c>
      <c r="D484" t="inlineStr">
        <is>
          <t>Fatma Ali</t>
        </is>
      </c>
      <c r="E484" t="n">
        <v>126</v>
      </c>
      <c r="F484" t="n">
        <v>3566</v>
      </c>
      <c r="G484" t="n">
        <v>3286</v>
      </c>
      <c r="H484" s="23" t="n">
        <v>449316</v>
      </c>
      <c r="I484" s="23" t="n">
        <v>414036</v>
      </c>
      <c r="J484" t="inlineStr">
        <is>
          <t>Mar</t>
        </is>
      </c>
      <c r="K484" t="n">
        <v>3</v>
      </c>
      <c r="L484" t="inlineStr">
        <is>
          <t>Q1</t>
        </is>
      </c>
      <c r="M484" t="n">
        <v>2024</v>
      </c>
      <c r="N484" s="22" t="n">
        <v>45352</v>
      </c>
      <c r="O484" s="24" t="n">
        <v>1.085209981740718</v>
      </c>
      <c r="P484" s="23" t="n">
        <v>35280</v>
      </c>
    </row>
    <row r="485">
      <c r="A485" t="inlineStr">
        <is>
          <t>Glucophage 1000 MG</t>
        </is>
      </c>
      <c r="B485" t="inlineStr">
        <is>
          <t>Cairo 1</t>
        </is>
      </c>
      <c r="C485" s="22" t="n">
        <v>45383</v>
      </c>
      <c r="D485" t="inlineStr">
        <is>
          <t>Fatma Ali</t>
        </is>
      </c>
      <c r="E485" t="n">
        <v>126</v>
      </c>
      <c r="F485" t="n">
        <v>3149</v>
      </c>
      <c r="G485" t="n">
        <v>3385</v>
      </c>
      <c r="H485" s="23" t="n">
        <v>396774</v>
      </c>
      <c r="I485" s="23" t="n">
        <v>426510</v>
      </c>
      <c r="J485" t="inlineStr">
        <is>
          <t>Apr</t>
        </is>
      </c>
      <c r="K485" t="n">
        <v>4</v>
      </c>
      <c r="L485" t="inlineStr">
        <is>
          <t>Q2</t>
        </is>
      </c>
      <c r="M485" t="n">
        <v>2024</v>
      </c>
      <c r="N485" s="22" t="n">
        <v>45383</v>
      </c>
      <c r="O485" s="24" t="n">
        <v>0.9302806499261448</v>
      </c>
      <c r="P485" s="23" t="n">
        <v>-29736</v>
      </c>
    </row>
    <row r="486">
      <c r="A486" t="inlineStr">
        <is>
          <t>Glucophage 1000 MG</t>
        </is>
      </c>
      <c r="B486" t="inlineStr">
        <is>
          <t>Cairo 1</t>
        </is>
      </c>
      <c r="C486" s="22" t="n">
        <v>45413</v>
      </c>
      <c r="D486" t="inlineStr">
        <is>
          <t>Fatma Ali</t>
        </is>
      </c>
      <c r="E486" t="n">
        <v>126</v>
      </c>
      <c r="F486" t="n">
        <v>2609</v>
      </c>
      <c r="G486" t="n">
        <v>2858</v>
      </c>
      <c r="H486" s="23" t="n">
        <v>328734</v>
      </c>
      <c r="I486" s="23" t="n">
        <v>360108</v>
      </c>
      <c r="J486" t="inlineStr">
        <is>
          <t>May</t>
        </is>
      </c>
      <c r="K486" t="n">
        <v>5</v>
      </c>
      <c r="L486" t="inlineStr">
        <is>
          <t>Q2</t>
        </is>
      </c>
      <c r="M486" t="n">
        <v>2024</v>
      </c>
      <c r="N486" s="22" t="n">
        <v>45413</v>
      </c>
      <c r="O486" s="24" t="n">
        <v>0.9128761371588523</v>
      </c>
      <c r="P486" s="23" t="n">
        <v>-31374</v>
      </c>
    </row>
    <row r="487">
      <c r="A487" t="inlineStr">
        <is>
          <t>Glucophage 1000 MG</t>
        </is>
      </c>
      <c r="B487" t="inlineStr">
        <is>
          <t>Cairo 1</t>
        </is>
      </c>
      <c r="C487" s="22" t="n">
        <v>45444</v>
      </c>
      <c r="D487" t="inlineStr">
        <is>
          <t>Fatma Ali</t>
        </is>
      </c>
      <c r="E487" t="n">
        <v>126</v>
      </c>
      <c r="F487" t="n">
        <v>2247</v>
      </c>
      <c r="G487" t="n">
        <v>2630</v>
      </c>
      <c r="H487" s="23" t="n">
        <v>283122</v>
      </c>
      <c r="I487" s="23" t="n">
        <v>331380</v>
      </c>
      <c r="J487" t="inlineStr">
        <is>
          <t>Jun</t>
        </is>
      </c>
      <c r="K487" t="n">
        <v>6</v>
      </c>
      <c r="L487" t="inlineStr">
        <is>
          <t>Q2</t>
        </is>
      </c>
      <c r="M487" t="n">
        <v>2024</v>
      </c>
      <c r="N487" s="22" t="n">
        <v>45444</v>
      </c>
      <c r="O487" s="24" t="n">
        <v>0.8543726235741445</v>
      </c>
      <c r="P487" s="23" t="n">
        <v>-48258</v>
      </c>
    </row>
    <row r="488">
      <c r="A488" t="inlineStr">
        <is>
          <t>Glucophage 1000 MG</t>
        </is>
      </c>
      <c r="B488" t="inlineStr">
        <is>
          <t>Cairo 1</t>
        </is>
      </c>
      <c r="C488" s="22" t="n">
        <v>45474</v>
      </c>
      <c r="D488" t="inlineStr">
        <is>
          <t>Fatma Ali</t>
        </is>
      </c>
      <c r="E488" t="n">
        <v>126</v>
      </c>
      <c r="F488" t="n">
        <v>3759</v>
      </c>
      <c r="G488" t="n">
        <v>3858</v>
      </c>
      <c r="H488" s="23" t="n">
        <v>473634</v>
      </c>
      <c r="I488" s="23" t="n">
        <v>486108</v>
      </c>
      <c r="J488" t="inlineStr">
        <is>
          <t>Jul</t>
        </is>
      </c>
      <c r="K488" t="n">
        <v>7</v>
      </c>
      <c r="L488" t="inlineStr">
        <is>
          <t>Q3</t>
        </is>
      </c>
      <c r="M488" t="n">
        <v>2024</v>
      </c>
      <c r="N488" s="22" t="n">
        <v>45474</v>
      </c>
      <c r="O488" s="24" t="n">
        <v>0.9743390357698289</v>
      </c>
      <c r="P488" s="23" t="n">
        <v>-12474</v>
      </c>
    </row>
    <row r="489">
      <c r="A489" t="inlineStr">
        <is>
          <t>Glucophage 1000 MG</t>
        </is>
      </c>
      <c r="B489" t="inlineStr">
        <is>
          <t>Cairo 1</t>
        </is>
      </c>
      <c r="C489" s="22" t="n">
        <v>45505</v>
      </c>
      <c r="D489" t="inlineStr">
        <is>
          <t>Fatma Ali</t>
        </is>
      </c>
      <c r="E489" t="n">
        <v>126</v>
      </c>
      <c r="F489" t="n">
        <v>3413</v>
      </c>
      <c r="G489" t="n">
        <v>3699</v>
      </c>
      <c r="H489" s="23" t="n">
        <v>430038</v>
      </c>
      <c r="I489" s="23" t="n">
        <v>466074</v>
      </c>
      <c r="J489" t="inlineStr">
        <is>
          <t>Aug</t>
        </is>
      </c>
      <c r="K489" t="n">
        <v>8</v>
      </c>
      <c r="L489" t="inlineStr">
        <is>
          <t>Q3</t>
        </is>
      </c>
      <c r="M489" t="n">
        <v>2024</v>
      </c>
      <c r="N489" s="22" t="n">
        <v>45505</v>
      </c>
      <c r="O489" s="24" t="n">
        <v>0.9226818058934847</v>
      </c>
      <c r="P489" s="23" t="n">
        <v>-36036</v>
      </c>
    </row>
    <row r="490">
      <c r="A490" t="inlineStr">
        <is>
          <t>Glucophage 1000 MG</t>
        </is>
      </c>
      <c r="B490" t="inlineStr">
        <is>
          <t>Cairo 1</t>
        </is>
      </c>
      <c r="C490" s="22" t="n">
        <v>45536</v>
      </c>
      <c r="D490" t="inlineStr">
        <is>
          <t>Fatma Ali</t>
        </is>
      </c>
      <c r="E490" t="n">
        <v>126</v>
      </c>
      <c r="F490" t="n">
        <v>2909</v>
      </c>
      <c r="G490" t="n">
        <v>3013</v>
      </c>
      <c r="H490" s="23" t="n">
        <v>366534</v>
      </c>
      <c r="I490" s="23" t="n">
        <v>379638</v>
      </c>
      <c r="J490" t="inlineStr">
        <is>
          <t>Sep</t>
        </is>
      </c>
      <c r="K490" t="n">
        <v>9</v>
      </c>
      <c r="L490" t="inlineStr">
        <is>
          <t>Q3</t>
        </is>
      </c>
      <c r="M490" t="n">
        <v>2024</v>
      </c>
      <c r="N490" s="22" t="n">
        <v>45536</v>
      </c>
      <c r="O490" s="24" t="n">
        <v>0.9654829074012612</v>
      </c>
      <c r="P490" s="23" t="n">
        <v>-13104</v>
      </c>
    </row>
    <row r="491">
      <c r="A491" t="inlineStr">
        <is>
          <t>Glucophage 1000 MG</t>
        </is>
      </c>
      <c r="B491" t="inlineStr">
        <is>
          <t>Cairo 1</t>
        </is>
      </c>
      <c r="C491" s="22" t="n">
        <v>45566</v>
      </c>
      <c r="D491" t="inlineStr">
        <is>
          <t>Fatma Ali</t>
        </is>
      </c>
      <c r="E491" t="n">
        <v>126</v>
      </c>
      <c r="F491" t="n">
        <v>3744</v>
      </c>
      <c r="G491" t="n">
        <v>3500</v>
      </c>
      <c r="H491" s="23" t="n">
        <v>471744</v>
      </c>
      <c r="I491" s="23" t="n">
        <v>441000</v>
      </c>
      <c r="J491" t="inlineStr">
        <is>
          <t>Oct</t>
        </is>
      </c>
      <c r="K491" t="n">
        <v>10</v>
      </c>
      <c r="L491" t="inlineStr">
        <is>
          <t>Q4</t>
        </is>
      </c>
      <c r="M491" t="n">
        <v>2024</v>
      </c>
      <c r="N491" s="22" t="n">
        <v>45566</v>
      </c>
      <c r="O491" s="24" t="n">
        <v>1.069714285714286</v>
      </c>
      <c r="P491" s="23" t="n">
        <v>30744</v>
      </c>
    </row>
    <row r="492">
      <c r="A492" t="inlineStr">
        <is>
          <t>Glucophage 1000 MG</t>
        </is>
      </c>
      <c r="B492" t="inlineStr">
        <is>
          <t>Cairo 1</t>
        </is>
      </c>
      <c r="C492" s="22" t="n">
        <v>45597</v>
      </c>
      <c r="D492" t="inlineStr">
        <is>
          <t>Fatma Ali</t>
        </is>
      </c>
      <c r="E492" t="n">
        <v>126</v>
      </c>
      <c r="F492" t="n">
        <v>3400</v>
      </c>
      <c r="G492" t="n">
        <v>3127</v>
      </c>
      <c r="H492" s="23" t="n">
        <v>428400</v>
      </c>
      <c r="I492" s="23" t="n">
        <v>394002</v>
      </c>
      <c r="J492" t="inlineStr">
        <is>
          <t>Nov</t>
        </is>
      </c>
      <c r="K492" t="n">
        <v>11</v>
      </c>
      <c r="L492" t="inlineStr">
        <is>
          <t>Q4</t>
        </is>
      </c>
      <c r="M492" t="n">
        <v>2024</v>
      </c>
      <c r="N492" s="22" t="n">
        <v>45597</v>
      </c>
      <c r="O492" s="24" t="n">
        <v>1.08730412535977</v>
      </c>
      <c r="P492" s="23" t="n">
        <v>34398</v>
      </c>
    </row>
    <row r="493">
      <c r="A493" t="inlineStr">
        <is>
          <t>Glucophage 1000 MG</t>
        </is>
      </c>
      <c r="B493" t="inlineStr">
        <is>
          <t>Cairo 1</t>
        </is>
      </c>
      <c r="C493" s="22" t="n">
        <v>45627</v>
      </c>
      <c r="D493" t="inlineStr">
        <is>
          <t>Fatma Ali</t>
        </is>
      </c>
      <c r="E493" t="n">
        <v>126</v>
      </c>
      <c r="F493" t="n">
        <v>3729</v>
      </c>
      <c r="G493" t="n">
        <v>3677</v>
      </c>
      <c r="H493" s="23" t="n">
        <v>469854</v>
      </c>
      <c r="I493" s="23" t="n">
        <v>463302</v>
      </c>
      <c r="J493" t="inlineStr">
        <is>
          <t>Dec</t>
        </is>
      </c>
      <c r="K493" t="n">
        <v>12</v>
      </c>
      <c r="L493" t="inlineStr">
        <is>
          <t>Q4</t>
        </is>
      </c>
      <c r="M493" t="n">
        <v>2024</v>
      </c>
      <c r="N493" s="22" t="n">
        <v>45627</v>
      </c>
      <c r="O493" s="24" t="n">
        <v>1.014141963557248</v>
      </c>
      <c r="P493" s="23" t="n">
        <v>6552</v>
      </c>
    </row>
    <row r="494">
      <c r="A494" t="inlineStr">
        <is>
          <t>Glucophage 1000 MG</t>
        </is>
      </c>
      <c r="B494" t="inlineStr">
        <is>
          <t>Cairo 2</t>
        </is>
      </c>
      <c r="C494" s="22" t="n">
        <v>45292</v>
      </c>
      <c r="D494" t="inlineStr">
        <is>
          <t>Hassan El-Shamy</t>
        </is>
      </c>
      <c r="E494" t="n">
        <v>126</v>
      </c>
      <c r="F494" t="n">
        <v>2595</v>
      </c>
      <c r="G494" t="n">
        <v>2405</v>
      </c>
      <c r="H494" s="23" t="n">
        <v>326970</v>
      </c>
      <c r="I494" s="23" t="n">
        <v>303030</v>
      </c>
      <c r="J494" t="inlineStr">
        <is>
          <t>Jan</t>
        </is>
      </c>
      <c r="K494" t="n">
        <v>1</v>
      </c>
      <c r="L494" t="inlineStr">
        <is>
          <t>Q1</t>
        </is>
      </c>
      <c r="M494" t="n">
        <v>2024</v>
      </c>
      <c r="N494" s="22" t="n">
        <v>45292</v>
      </c>
      <c r="O494" s="24" t="n">
        <v>1.079002079002079</v>
      </c>
      <c r="P494" s="23" t="n">
        <v>23940</v>
      </c>
    </row>
    <row r="495">
      <c r="A495" t="inlineStr">
        <is>
          <t>Glucophage 1000 MG</t>
        </is>
      </c>
      <c r="B495" t="inlineStr">
        <is>
          <t>Cairo 2</t>
        </is>
      </c>
      <c r="C495" s="22" t="n">
        <v>45323</v>
      </c>
      <c r="D495" t="inlineStr">
        <is>
          <t>Hassan El-Shamy</t>
        </is>
      </c>
      <c r="E495" t="n">
        <v>126</v>
      </c>
      <c r="F495" t="n">
        <v>3547</v>
      </c>
      <c r="G495" t="n">
        <v>3384</v>
      </c>
      <c r="H495" s="23" t="n">
        <v>446922</v>
      </c>
      <c r="I495" s="23" t="n">
        <v>426384</v>
      </c>
      <c r="J495" t="inlineStr">
        <is>
          <t>Feb</t>
        </is>
      </c>
      <c r="K495" t="n">
        <v>2</v>
      </c>
      <c r="L495" t="inlineStr">
        <is>
          <t>Q1</t>
        </is>
      </c>
      <c r="M495" t="n">
        <v>2024</v>
      </c>
      <c r="N495" s="22" t="n">
        <v>45323</v>
      </c>
      <c r="O495" s="24" t="n">
        <v>1.048167848699764</v>
      </c>
      <c r="P495" s="23" t="n">
        <v>20538</v>
      </c>
    </row>
    <row r="496">
      <c r="A496" t="inlineStr">
        <is>
          <t>Glucophage 1000 MG</t>
        </is>
      </c>
      <c r="B496" t="inlineStr">
        <is>
          <t>Cairo 2</t>
        </is>
      </c>
      <c r="C496" s="22" t="n">
        <v>45352</v>
      </c>
      <c r="D496" t="inlineStr">
        <is>
          <t>Hassan El-Shamy</t>
        </is>
      </c>
      <c r="E496" t="n">
        <v>126</v>
      </c>
      <c r="F496" t="n">
        <v>2959</v>
      </c>
      <c r="G496" t="n">
        <v>3447</v>
      </c>
      <c r="H496" s="23" t="n">
        <v>372834</v>
      </c>
      <c r="I496" s="23" t="n">
        <v>434322</v>
      </c>
      <c r="J496" t="inlineStr">
        <is>
          <t>Mar</t>
        </is>
      </c>
      <c r="K496" t="n">
        <v>3</v>
      </c>
      <c r="L496" t="inlineStr">
        <is>
          <t>Q1</t>
        </is>
      </c>
      <c r="M496" t="n">
        <v>2024</v>
      </c>
      <c r="N496" s="22" t="n">
        <v>45352</v>
      </c>
      <c r="O496" s="24" t="n">
        <v>0.8584276182187409</v>
      </c>
      <c r="P496" s="23" t="n">
        <v>-61488</v>
      </c>
    </row>
    <row r="497">
      <c r="A497" t="inlineStr">
        <is>
          <t>Glucophage 1000 MG</t>
        </is>
      </c>
      <c r="B497" t="inlineStr">
        <is>
          <t>Cairo 2</t>
        </is>
      </c>
      <c r="C497" s="22" t="n">
        <v>45383</v>
      </c>
      <c r="D497" t="inlineStr">
        <is>
          <t>Hassan El-Shamy</t>
        </is>
      </c>
      <c r="E497" t="n">
        <v>126</v>
      </c>
      <c r="F497" t="n">
        <v>2476</v>
      </c>
      <c r="G497" t="n">
        <v>2703</v>
      </c>
      <c r="H497" s="23" t="n">
        <v>311976</v>
      </c>
      <c r="I497" s="23" t="n">
        <v>340578</v>
      </c>
      <c r="J497" t="inlineStr">
        <is>
          <t>Apr</t>
        </is>
      </c>
      <c r="K497" t="n">
        <v>4</v>
      </c>
      <c r="L497" t="inlineStr">
        <is>
          <t>Q2</t>
        </is>
      </c>
      <c r="M497" t="n">
        <v>2024</v>
      </c>
      <c r="N497" s="22" t="n">
        <v>45383</v>
      </c>
      <c r="O497" s="24" t="n">
        <v>0.9160192378838328</v>
      </c>
      <c r="P497" s="23" t="n">
        <v>-28602</v>
      </c>
    </row>
    <row r="498">
      <c r="A498" t="inlineStr">
        <is>
          <t>Glucophage 1000 MG</t>
        </is>
      </c>
      <c r="B498" t="inlineStr">
        <is>
          <t>Cairo 2</t>
        </is>
      </c>
      <c r="C498" s="22" t="n">
        <v>45413</v>
      </c>
      <c r="D498" t="inlineStr">
        <is>
          <t>Hassan El-Shamy</t>
        </is>
      </c>
      <c r="E498" t="n">
        <v>126</v>
      </c>
      <c r="F498" t="n">
        <v>3311</v>
      </c>
      <c r="G498" t="n">
        <v>3682</v>
      </c>
      <c r="H498" s="23" t="n">
        <v>417186</v>
      </c>
      <c r="I498" s="23" t="n">
        <v>463932</v>
      </c>
      <c r="J498" t="inlineStr">
        <is>
          <t>May</t>
        </is>
      </c>
      <c r="K498" t="n">
        <v>5</v>
      </c>
      <c r="L498" t="inlineStr">
        <is>
          <t>Q2</t>
        </is>
      </c>
      <c r="M498" t="n">
        <v>2024</v>
      </c>
      <c r="N498" s="22" t="n">
        <v>45413</v>
      </c>
      <c r="O498" s="24" t="n">
        <v>0.8992395437262357</v>
      </c>
      <c r="P498" s="23" t="n">
        <v>-46746</v>
      </c>
    </row>
    <row r="499">
      <c r="A499" t="inlineStr">
        <is>
          <t>Glucophage 1000 MG</t>
        </is>
      </c>
      <c r="B499" t="inlineStr">
        <is>
          <t>Cairo 2</t>
        </is>
      </c>
      <c r="C499" s="22" t="n">
        <v>45444</v>
      </c>
      <c r="D499" t="inlineStr">
        <is>
          <t>Hassan El-Shamy</t>
        </is>
      </c>
      <c r="E499" t="n">
        <v>126</v>
      </c>
      <c r="F499" t="n">
        <v>2161</v>
      </c>
      <c r="G499" t="n">
        <v>2519</v>
      </c>
      <c r="H499" s="23" t="n">
        <v>272286</v>
      </c>
      <c r="I499" s="23" t="n">
        <v>317394</v>
      </c>
      <c r="J499" t="inlineStr">
        <is>
          <t>Jun</t>
        </is>
      </c>
      <c r="K499" t="n">
        <v>6</v>
      </c>
      <c r="L499" t="inlineStr">
        <is>
          <t>Q2</t>
        </is>
      </c>
      <c r="M499" t="n">
        <v>2024</v>
      </c>
      <c r="N499" s="22" t="n">
        <v>45444</v>
      </c>
      <c r="O499" s="24" t="n">
        <v>0.8578801111552203</v>
      </c>
      <c r="P499" s="23" t="n">
        <v>-45108</v>
      </c>
    </row>
    <row r="500">
      <c r="A500" t="inlineStr">
        <is>
          <t>Glucophage 1000 MG</t>
        </is>
      </c>
      <c r="B500" t="inlineStr">
        <is>
          <t>Cairo 2</t>
        </is>
      </c>
      <c r="C500" s="22" t="n">
        <v>45474</v>
      </c>
      <c r="D500" t="inlineStr">
        <is>
          <t>Hassan El-Shamy</t>
        </is>
      </c>
      <c r="E500" t="n">
        <v>126</v>
      </c>
      <c r="F500" t="n">
        <v>3042</v>
      </c>
      <c r="G500" t="n">
        <v>2935</v>
      </c>
      <c r="H500" s="23" t="n">
        <v>383292</v>
      </c>
      <c r="I500" s="23" t="n">
        <v>369810</v>
      </c>
      <c r="J500" t="inlineStr">
        <is>
          <t>Jul</t>
        </is>
      </c>
      <c r="K500" t="n">
        <v>7</v>
      </c>
      <c r="L500" t="inlineStr">
        <is>
          <t>Q3</t>
        </is>
      </c>
      <c r="M500" t="n">
        <v>2024</v>
      </c>
      <c r="N500" s="22" t="n">
        <v>45474</v>
      </c>
      <c r="O500" s="24" t="n">
        <v>1.036456558773424</v>
      </c>
      <c r="P500" s="23" t="n">
        <v>13482</v>
      </c>
    </row>
    <row r="501">
      <c r="A501" t="inlineStr">
        <is>
          <t>Glucophage 1000 MG</t>
        </is>
      </c>
      <c r="B501" t="inlineStr">
        <is>
          <t>Cairo 2</t>
        </is>
      </c>
      <c r="C501" s="22" t="n">
        <v>45505</v>
      </c>
      <c r="D501" t="inlineStr">
        <is>
          <t>Hassan El-Shamy</t>
        </is>
      </c>
      <c r="E501" t="n">
        <v>126</v>
      </c>
      <c r="F501" t="n">
        <v>3091</v>
      </c>
      <c r="G501" t="n">
        <v>3400</v>
      </c>
      <c r="H501" s="23" t="n">
        <v>389466</v>
      </c>
      <c r="I501" s="23" t="n">
        <v>428400</v>
      </c>
      <c r="J501" t="inlineStr">
        <is>
          <t>Aug</t>
        </is>
      </c>
      <c r="K501" t="n">
        <v>8</v>
      </c>
      <c r="L501" t="inlineStr">
        <is>
          <t>Q3</t>
        </is>
      </c>
      <c r="M501" t="n">
        <v>2024</v>
      </c>
      <c r="N501" s="22" t="n">
        <v>45505</v>
      </c>
      <c r="O501" s="24" t="n">
        <v>0.9091176470588235</v>
      </c>
      <c r="P501" s="23" t="n">
        <v>-38934</v>
      </c>
    </row>
    <row r="502">
      <c r="A502" t="inlineStr">
        <is>
          <t>Glucophage 1000 MG</t>
        </is>
      </c>
      <c r="B502" t="inlineStr">
        <is>
          <t>Cairo 2</t>
        </is>
      </c>
      <c r="C502" s="22" t="n">
        <v>45536</v>
      </c>
      <c r="D502" t="inlineStr">
        <is>
          <t>Hassan El-Shamy</t>
        </is>
      </c>
      <c r="E502" t="n">
        <v>126</v>
      </c>
      <c r="F502" t="n">
        <v>2613</v>
      </c>
      <c r="G502" t="n">
        <v>2985</v>
      </c>
      <c r="H502" s="23" t="n">
        <v>329238</v>
      </c>
      <c r="I502" s="23" t="n">
        <v>376110</v>
      </c>
      <c r="J502" t="inlineStr">
        <is>
          <t>Sep</t>
        </is>
      </c>
      <c r="K502" t="n">
        <v>9</v>
      </c>
      <c r="L502" t="inlineStr">
        <is>
          <t>Q3</t>
        </is>
      </c>
      <c r="M502" t="n">
        <v>2024</v>
      </c>
      <c r="N502" s="22" t="n">
        <v>45536</v>
      </c>
      <c r="O502" s="24" t="n">
        <v>0.8753768844221106</v>
      </c>
      <c r="P502" s="23" t="n">
        <v>-46872</v>
      </c>
    </row>
    <row r="503">
      <c r="A503" t="inlineStr">
        <is>
          <t>Glucophage 1000 MG</t>
        </is>
      </c>
      <c r="B503" t="inlineStr">
        <is>
          <t>Cairo 2</t>
        </is>
      </c>
      <c r="C503" s="22" t="n">
        <v>45566</v>
      </c>
      <c r="D503" t="inlineStr">
        <is>
          <t>Hassan El-Shamy</t>
        </is>
      </c>
      <c r="E503" t="n">
        <v>126</v>
      </c>
      <c r="F503" t="n">
        <v>3221</v>
      </c>
      <c r="G503" t="n">
        <v>3211</v>
      </c>
      <c r="H503" s="23" t="n">
        <v>405846</v>
      </c>
      <c r="I503" s="23" t="n">
        <v>404586</v>
      </c>
      <c r="J503" t="inlineStr">
        <is>
          <t>Oct</t>
        </is>
      </c>
      <c r="K503" t="n">
        <v>10</v>
      </c>
      <c r="L503" t="inlineStr">
        <is>
          <t>Q4</t>
        </is>
      </c>
      <c r="M503" t="n">
        <v>2024</v>
      </c>
      <c r="N503" s="22" t="n">
        <v>45566</v>
      </c>
      <c r="O503" s="24" t="n">
        <v>1.00311429461227</v>
      </c>
      <c r="P503" s="23" t="n">
        <v>1260</v>
      </c>
    </row>
    <row r="504">
      <c r="A504" t="inlineStr">
        <is>
          <t>Glucophage 1000 MG</t>
        </is>
      </c>
      <c r="B504" t="inlineStr">
        <is>
          <t>Cairo 2</t>
        </is>
      </c>
      <c r="C504" s="22" t="n">
        <v>45597</v>
      </c>
      <c r="D504" t="inlineStr">
        <is>
          <t>Hassan El-Shamy</t>
        </is>
      </c>
      <c r="E504" t="n">
        <v>126</v>
      </c>
      <c r="F504" t="n">
        <v>2650</v>
      </c>
      <c r="G504" t="n">
        <v>3691</v>
      </c>
      <c r="H504" s="23" t="n">
        <v>333900</v>
      </c>
      <c r="I504" s="23" t="n">
        <v>465066</v>
      </c>
      <c r="J504" t="inlineStr">
        <is>
          <t>Nov</t>
        </is>
      </c>
      <c r="K504" t="n">
        <v>11</v>
      </c>
      <c r="L504" t="inlineStr">
        <is>
          <t>Q4</t>
        </is>
      </c>
      <c r="M504" t="n">
        <v>2024</v>
      </c>
      <c r="N504" s="22" t="n">
        <v>45597</v>
      </c>
      <c r="O504" s="24" t="n">
        <v>0.7179626117583311</v>
      </c>
      <c r="P504" s="23" t="n">
        <v>-131166</v>
      </c>
    </row>
    <row r="505">
      <c r="A505" t="inlineStr">
        <is>
          <t>Glucophage 1000 MG</t>
        </is>
      </c>
      <c r="B505" t="inlineStr">
        <is>
          <t>Cairo 2</t>
        </is>
      </c>
      <c r="C505" s="22" t="n">
        <v>45627</v>
      </c>
      <c r="D505" t="inlineStr">
        <is>
          <t>Hassan El-Shamy</t>
        </is>
      </c>
      <c r="E505" t="n">
        <v>126</v>
      </c>
      <c r="F505" t="n">
        <v>2505</v>
      </c>
      <c r="G505" t="n">
        <v>2575</v>
      </c>
      <c r="H505" s="23" t="n">
        <v>315630</v>
      </c>
      <c r="I505" s="23" t="n">
        <v>324450</v>
      </c>
      <c r="J505" t="inlineStr">
        <is>
          <t>Dec</t>
        </is>
      </c>
      <c r="K505" t="n">
        <v>12</v>
      </c>
      <c r="L505" t="inlineStr">
        <is>
          <t>Q4</t>
        </is>
      </c>
      <c r="M505" t="n">
        <v>2024</v>
      </c>
      <c r="N505" s="22" t="n">
        <v>45627</v>
      </c>
      <c r="O505" s="24" t="n">
        <v>0.9728155339805825</v>
      </c>
      <c r="P505" s="23" t="n">
        <v>-8820</v>
      </c>
    </row>
    <row r="506">
      <c r="A506" t="inlineStr">
        <is>
          <t>Glucophage 1000 MG</t>
        </is>
      </c>
      <c r="B506" t="inlineStr">
        <is>
          <t>Suez</t>
        </is>
      </c>
      <c r="C506" s="22" t="n">
        <v>45292</v>
      </c>
      <c r="D506" t="inlineStr">
        <is>
          <t>Mohamed Mahmoud</t>
        </is>
      </c>
      <c r="E506" t="n">
        <v>126</v>
      </c>
      <c r="F506" t="n">
        <v>2270</v>
      </c>
      <c r="G506" t="n">
        <v>2610</v>
      </c>
      <c r="H506" s="23" t="n">
        <v>286020</v>
      </c>
      <c r="I506" s="23" t="n">
        <v>328860</v>
      </c>
      <c r="J506" t="inlineStr">
        <is>
          <t>Jan</t>
        </is>
      </c>
      <c r="K506" t="n">
        <v>1</v>
      </c>
      <c r="L506" t="inlineStr">
        <is>
          <t>Q1</t>
        </is>
      </c>
      <c r="M506" t="n">
        <v>2024</v>
      </c>
      <c r="N506" s="22" t="n">
        <v>45292</v>
      </c>
      <c r="O506" s="24" t="n">
        <v>0.8697318007662835</v>
      </c>
      <c r="P506" s="23" t="n">
        <v>-42840</v>
      </c>
    </row>
    <row r="507">
      <c r="A507" t="inlineStr">
        <is>
          <t>Glucophage 1000 MG</t>
        </is>
      </c>
      <c r="B507" t="inlineStr">
        <is>
          <t>Suez</t>
        </is>
      </c>
      <c r="C507" s="22" t="n">
        <v>45323</v>
      </c>
      <c r="D507" t="inlineStr">
        <is>
          <t>Mohamed Mahmoud</t>
        </is>
      </c>
      <c r="E507" t="n">
        <v>126</v>
      </c>
      <c r="F507" t="n">
        <v>2724</v>
      </c>
      <c r="G507" t="n">
        <v>2871</v>
      </c>
      <c r="H507" s="23" t="n">
        <v>343224</v>
      </c>
      <c r="I507" s="23" t="n">
        <v>361746</v>
      </c>
      <c r="J507" t="inlineStr">
        <is>
          <t>Feb</t>
        </is>
      </c>
      <c r="K507" t="n">
        <v>2</v>
      </c>
      <c r="L507" t="inlineStr">
        <is>
          <t>Q1</t>
        </is>
      </c>
      <c r="M507" t="n">
        <v>2024</v>
      </c>
      <c r="N507" s="22" t="n">
        <v>45323</v>
      </c>
      <c r="O507" s="24" t="n">
        <v>0.9487983281086729</v>
      </c>
      <c r="P507" s="23" t="n">
        <v>-18522</v>
      </c>
    </row>
    <row r="508">
      <c r="A508" t="inlineStr">
        <is>
          <t>Glucophage 1000 MG</t>
        </is>
      </c>
      <c r="B508" t="inlineStr">
        <is>
          <t>Suez</t>
        </is>
      </c>
      <c r="C508" s="22" t="n">
        <v>45352</v>
      </c>
      <c r="D508" t="inlineStr">
        <is>
          <t>Mohamed Mahmoud</t>
        </is>
      </c>
      <c r="E508" t="n">
        <v>126</v>
      </c>
      <c r="F508" t="n">
        <v>2090</v>
      </c>
      <c r="G508" t="n">
        <v>2403</v>
      </c>
      <c r="H508" s="23" t="n">
        <v>263340</v>
      </c>
      <c r="I508" s="23" t="n">
        <v>302778</v>
      </c>
      <c r="J508" t="inlineStr">
        <is>
          <t>Mar</t>
        </is>
      </c>
      <c r="K508" t="n">
        <v>3</v>
      </c>
      <c r="L508" t="inlineStr">
        <is>
          <t>Q1</t>
        </is>
      </c>
      <c r="M508" t="n">
        <v>2024</v>
      </c>
      <c r="N508" s="22" t="n">
        <v>45352</v>
      </c>
      <c r="O508" s="24" t="n">
        <v>0.869746150645027</v>
      </c>
      <c r="P508" s="23" t="n">
        <v>-39438</v>
      </c>
    </row>
    <row r="509">
      <c r="A509" t="inlineStr">
        <is>
          <t>Glucophage 1000 MG</t>
        </is>
      </c>
      <c r="B509" t="inlineStr">
        <is>
          <t>Suez</t>
        </is>
      </c>
      <c r="C509" s="22" t="n">
        <v>45383</v>
      </c>
      <c r="D509" t="inlineStr">
        <is>
          <t>Mohamed Mahmoud</t>
        </is>
      </c>
      <c r="E509" t="n">
        <v>126</v>
      </c>
      <c r="F509" t="n">
        <v>3169</v>
      </c>
      <c r="G509" t="n">
        <v>2959</v>
      </c>
      <c r="H509" s="23" t="n">
        <v>399294</v>
      </c>
      <c r="I509" s="23" t="n">
        <v>372834</v>
      </c>
      <c r="J509" t="inlineStr">
        <is>
          <t>Apr</t>
        </is>
      </c>
      <c r="K509" t="n">
        <v>4</v>
      </c>
      <c r="L509" t="inlineStr">
        <is>
          <t>Q2</t>
        </is>
      </c>
      <c r="M509" t="n">
        <v>2024</v>
      </c>
      <c r="N509" s="22" t="n">
        <v>45383</v>
      </c>
      <c r="O509" s="24" t="n">
        <v>1.070969922271038</v>
      </c>
      <c r="P509" s="23" t="n">
        <v>26460</v>
      </c>
    </row>
    <row r="510">
      <c r="A510" t="inlineStr">
        <is>
          <t>Glucophage 1000 MG</t>
        </is>
      </c>
      <c r="B510" t="inlineStr">
        <is>
          <t>Suez</t>
        </is>
      </c>
      <c r="C510" s="22" t="n">
        <v>45413</v>
      </c>
      <c r="D510" t="inlineStr">
        <is>
          <t>Mohamed Mahmoud</t>
        </is>
      </c>
      <c r="E510" t="n">
        <v>126</v>
      </c>
      <c r="F510" t="n">
        <v>1730</v>
      </c>
      <c r="G510" t="n">
        <v>1989</v>
      </c>
      <c r="H510" s="23" t="n">
        <v>217980</v>
      </c>
      <c r="I510" s="23" t="n">
        <v>250614</v>
      </c>
      <c r="J510" t="inlineStr">
        <is>
          <t>May</t>
        </is>
      </c>
      <c r="K510" t="n">
        <v>5</v>
      </c>
      <c r="L510" t="inlineStr">
        <is>
          <t>Q2</t>
        </is>
      </c>
      <c r="M510" t="n">
        <v>2024</v>
      </c>
      <c r="N510" s="22" t="n">
        <v>45413</v>
      </c>
      <c r="O510" s="24" t="n">
        <v>0.8697838109602816</v>
      </c>
      <c r="P510" s="23" t="n">
        <v>-32634</v>
      </c>
    </row>
    <row r="511">
      <c r="A511" t="inlineStr">
        <is>
          <t>Glucophage 1000 MG</t>
        </is>
      </c>
      <c r="B511" t="inlineStr">
        <is>
          <t>Suez</t>
        </is>
      </c>
      <c r="C511" s="22" t="n">
        <v>45444</v>
      </c>
      <c r="D511" t="inlineStr">
        <is>
          <t>Mohamed Mahmoud</t>
        </is>
      </c>
      <c r="E511" t="n">
        <v>126</v>
      </c>
      <c r="F511" t="n">
        <v>3661</v>
      </c>
      <c r="G511" t="n">
        <v>3676</v>
      </c>
      <c r="H511" s="23" t="n">
        <v>461286</v>
      </c>
      <c r="I511" s="23" t="n">
        <v>463176</v>
      </c>
      <c r="J511" t="inlineStr">
        <is>
          <t>Jun</t>
        </is>
      </c>
      <c r="K511" t="n">
        <v>6</v>
      </c>
      <c r="L511" t="inlineStr">
        <is>
          <t>Q2</t>
        </is>
      </c>
      <c r="M511" t="n">
        <v>2024</v>
      </c>
      <c r="N511" s="22" t="n">
        <v>45444</v>
      </c>
      <c r="O511" s="24" t="n">
        <v>0.9959194776931447</v>
      </c>
      <c r="P511" s="23" t="n">
        <v>-1890</v>
      </c>
    </row>
    <row r="512">
      <c r="A512" t="inlineStr">
        <is>
          <t>Glucophage 1000 MG</t>
        </is>
      </c>
      <c r="B512" t="inlineStr">
        <is>
          <t>Suez</t>
        </is>
      </c>
      <c r="C512" s="22" t="n">
        <v>45474</v>
      </c>
      <c r="D512" t="inlineStr">
        <is>
          <t>Mohamed Mahmoud</t>
        </is>
      </c>
      <c r="E512" t="n">
        <v>126</v>
      </c>
      <c r="F512" t="n">
        <v>2550</v>
      </c>
      <c r="G512" t="n">
        <v>2932</v>
      </c>
      <c r="H512" s="23" t="n">
        <v>321300</v>
      </c>
      <c r="I512" s="23" t="n">
        <v>369432</v>
      </c>
      <c r="J512" t="inlineStr">
        <is>
          <t>Jul</t>
        </is>
      </c>
      <c r="K512" t="n">
        <v>7</v>
      </c>
      <c r="L512" t="inlineStr">
        <is>
          <t>Q3</t>
        </is>
      </c>
      <c r="M512" t="n">
        <v>2024</v>
      </c>
      <c r="N512" s="22" t="n">
        <v>45474</v>
      </c>
      <c r="O512" s="24" t="n">
        <v>0.8697135061391542</v>
      </c>
      <c r="P512" s="23" t="n">
        <v>-48132</v>
      </c>
    </row>
    <row r="513">
      <c r="A513" t="inlineStr">
        <is>
          <t>Glucophage 1000 MG</t>
        </is>
      </c>
      <c r="B513" t="inlineStr">
        <is>
          <t>Suez</t>
        </is>
      </c>
      <c r="C513" s="22" t="n">
        <v>45505</v>
      </c>
      <c r="D513" t="inlineStr">
        <is>
          <t>Mohamed Mahmoud</t>
        </is>
      </c>
      <c r="E513" t="n">
        <v>126</v>
      </c>
      <c r="F513" t="n">
        <v>2995</v>
      </c>
      <c r="G513" t="n">
        <v>2784</v>
      </c>
      <c r="H513" s="23" t="n">
        <v>377370</v>
      </c>
      <c r="I513" s="23" t="n">
        <v>350784</v>
      </c>
      <c r="J513" t="inlineStr">
        <is>
          <t>Aug</t>
        </is>
      </c>
      <c r="K513" t="n">
        <v>8</v>
      </c>
      <c r="L513" t="inlineStr">
        <is>
          <t>Q3</t>
        </is>
      </c>
      <c r="M513" t="n">
        <v>2024</v>
      </c>
      <c r="N513" s="22" t="n">
        <v>45505</v>
      </c>
      <c r="O513" s="24" t="n">
        <v>1.075790229885057</v>
      </c>
      <c r="P513" s="23" t="n">
        <v>26586</v>
      </c>
    </row>
    <row r="514">
      <c r="A514" t="inlineStr">
        <is>
          <t>Glucophage 1000 MG</t>
        </is>
      </c>
      <c r="B514" t="inlineStr">
        <is>
          <t>Suez</t>
        </is>
      </c>
      <c r="C514" s="22" t="n">
        <v>45536</v>
      </c>
      <c r="D514" t="inlineStr">
        <is>
          <t>Mohamed Mahmoud</t>
        </is>
      </c>
      <c r="E514" t="n">
        <v>126</v>
      </c>
      <c r="F514" t="n">
        <v>1570</v>
      </c>
      <c r="G514" t="n">
        <v>1805</v>
      </c>
      <c r="H514" s="23" t="n">
        <v>197820</v>
      </c>
      <c r="I514" s="23" t="n">
        <v>227430</v>
      </c>
      <c r="J514" t="inlineStr">
        <is>
          <t>Sep</t>
        </is>
      </c>
      <c r="K514" t="n">
        <v>9</v>
      </c>
      <c r="L514" t="inlineStr">
        <is>
          <t>Q3</t>
        </is>
      </c>
      <c r="M514" t="n">
        <v>2024</v>
      </c>
      <c r="N514" s="22" t="n">
        <v>45536</v>
      </c>
      <c r="O514" s="24" t="n">
        <v>0.8698060941828255</v>
      </c>
      <c r="P514" s="23" t="n">
        <v>-29610</v>
      </c>
    </row>
    <row r="515">
      <c r="A515" t="inlineStr">
        <is>
          <t>Glucophage 1000 MG</t>
        </is>
      </c>
      <c r="B515" t="inlineStr">
        <is>
          <t>Suez</t>
        </is>
      </c>
      <c r="C515" s="22" t="n">
        <v>45566</v>
      </c>
      <c r="D515" t="inlineStr">
        <is>
          <t>Mohamed Mahmoud</t>
        </is>
      </c>
      <c r="E515" t="n">
        <v>126</v>
      </c>
      <c r="F515" t="n">
        <v>2636</v>
      </c>
      <c r="G515" t="n">
        <v>2462</v>
      </c>
      <c r="H515" s="23" t="n">
        <v>332136</v>
      </c>
      <c r="I515" s="23" t="n">
        <v>310212</v>
      </c>
      <c r="J515" t="inlineStr">
        <is>
          <t>Oct</t>
        </is>
      </c>
      <c r="K515" t="n">
        <v>10</v>
      </c>
      <c r="L515" t="inlineStr">
        <is>
          <t>Q4</t>
        </is>
      </c>
      <c r="M515" t="n">
        <v>2024</v>
      </c>
      <c r="N515" s="22" t="n">
        <v>45566</v>
      </c>
      <c r="O515" s="24" t="n">
        <v>1.070674248578392</v>
      </c>
      <c r="P515" s="23" t="n">
        <v>21924</v>
      </c>
    </row>
    <row r="516">
      <c r="A516" t="inlineStr">
        <is>
          <t>Glucophage 1000 MG</t>
        </is>
      </c>
      <c r="B516" t="inlineStr">
        <is>
          <t>Suez</t>
        </is>
      </c>
      <c r="C516" s="22" t="n">
        <v>45597</v>
      </c>
      <c r="D516" t="inlineStr">
        <is>
          <t>Mohamed Mahmoud</t>
        </is>
      </c>
      <c r="E516" t="n">
        <v>126</v>
      </c>
      <c r="F516" t="n">
        <v>1612</v>
      </c>
      <c r="G516" t="n">
        <v>1853</v>
      </c>
      <c r="H516" s="23" t="n">
        <v>203112</v>
      </c>
      <c r="I516" s="23" t="n">
        <v>233478</v>
      </c>
      <c r="J516" t="inlineStr">
        <is>
          <t>Nov</t>
        </is>
      </c>
      <c r="K516" t="n">
        <v>11</v>
      </c>
      <c r="L516" t="inlineStr">
        <is>
          <t>Q4</t>
        </is>
      </c>
      <c r="M516" t="n">
        <v>2024</v>
      </c>
      <c r="N516" s="22" t="n">
        <v>45597</v>
      </c>
      <c r="O516" s="24" t="n">
        <v>0.8699406368051807</v>
      </c>
      <c r="P516" s="23" t="n">
        <v>-30366</v>
      </c>
    </row>
    <row r="517">
      <c r="A517" t="inlineStr">
        <is>
          <t>Glucophage 1000 MG</t>
        </is>
      </c>
      <c r="B517" t="inlineStr">
        <is>
          <t>Suez</t>
        </is>
      </c>
      <c r="C517" s="22" t="n">
        <v>45627</v>
      </c>
      <c r="D517" t="inlineStr">
        <is>
          <t>Mohamed Mahmoud</t>
        </is>
      </c>
      <c r="E517" t="n">
        <v>126</v>
      </c>
      <c r="F517" t="n">
        <v>2475</v>
      </c>
      <c r="G517" t="n">
        <v>2732</v>
      </c>
      <c r="H517" s="23" t="n">
        <v>311850</v>
      </c>
      <c r="I517" s="23" t="n">
        <v>344232</v>
      </c>
      <c r="J517" t="inlineStr">
        <is>
          <t>Dec</t>
        </is>
      </c>
      <c r="K517" t="n">
        <v>12</v>
      </c>
      <c r="L517" t="inlineStr">
        <is>
          <t>Q4</t>
        </is>
      </c>
      <c r="M517" t="n">
        <v>2024</v>
      </c>
      <c r="N517" s="22" t="n">
        <v>45627</v>
      </c>
      <c r="O517" s="24" t="n">
        <v>0.9059297218155198</v>
      </c>
      <c r="P517" s="23" t="n">
        <v>-32382</v>
      </c>
    </row>
    <row r="518">
      <c r="A518" t="inlineStr">
        <is>
          <t>Glucophage 1000 MG</t>
        </is>
      </c>
      <c r="B518" t="inlineStr">
        <is>
          <t>Dakahlia 1</t>
        </is>
      </c>
      <c r="C518" s="22" t="n">
        <v>45292</v>
      </c>
      <c r="D518" t="inlineStr">
        <is>
          <t>Nour El-Din</t>
        </is>
      </c>
      <c r="E518" t="n">
        <v>126</v>
      </c>
      <c r="F518" t="n">
        <v>2376</v>
      </c>
      <c r="G518" t="n">
        <v>2490</v>
      </c>
      <c r="H518" s="23" t="n">
        <v>299376</v>
      </c>
      <c r="I518" s="23" t="n">
        <v>313740</v>
      </c>
      <c r="J518" t="inlineStr">
        <is>
          <t>Jan</t>
        </is>
      </c>
      <c r="K518" t="n">
        <v>1</v>
      </c>
      <c r="L518" t="inlineStr">
        <is>
          <t>Q1</t>
        </is>
      </c>
      <c r="M518" t="n">
        <v>2024</v>
      </c>
      <c r="N518" s="22" t="n">
        <v>45292</v>
      </c>
      <c r="O518" s="24" t="n">
        <v>0.9542168674698795</v>
      </c>
      <c r="P518" s="23" t="n">
        <v>-14364</v>
      </c>
    </row>
    <row r="519">
      <c r="A519" t="inlineStr">
        <is>
          <t>Glucophage 1000 MG</t>
        </is>
      </c>
      <c r="B519" t="inlineStr">
        <is>
          <t>Dakahlia 1</t>
        </is>
      </c>
      <c r="C519" s="22" t="n">
        <v>45323</v>
      </c>
      <c r="D519" t="inlineStr">
        <is>
          <t>Nour El-Din</t>
        </is>
      </c>
      <c r="E519" t="n">
        <v>126</v>
      </c>
      <c r="F519" t="n">
        <v>2216</v>
      </c>
      <c r="G519" t="n">
        <v>2344</v>
      </c>
      <c r="H519" s="23" t="n">
        <v>279216</v>
      </c>
      <c r="I519" s="23" t="n">
        <v>295344</v>
      </c>
      <c r="J519" t="inlineStr">
        <is>
          <t>Feb</t>
        </is>
      </c>
      <c r="K519" t="n">
        <v>2</v>
      </c>
      <c r="L519" t="inlineStr">
        <is>
          <t>Q1</t>
        </is>
      </c>
      <c r="M519" t="n">
        <v>2024</v>
      </c>
      <c r="N519" s="22" t="n">
        <v>45323</v>
      </c>
      <c r="O519" s="24" t="n">
        <v>0.9453924914675768</v>
      </c>
      <c r="P519" s="23" t="n">
        <v>-16128</v>
      </c>
    </row>
    <row r="520">
      <c r="A520" t="inlineStr">
        <is>
          <t>Glucophage 1000 MG</t>
        </is>
      </c>
      <c r="B520" t="inlineStr">
        <is>
          <t>Dakahlia 1</t>
        </is>
      </c>
      <c r="C520" s="22" t="n">
        <v>45352</v>
      </c>
      <c r="D520" t="inlineStr">
        <is>
          <t>Nour El-Din</t>
        </is>
      </c>
      <c r="E520" t="n">
        <v>126</v>
      </c>
      <c r="F520" t="n">
        <v>2380</v>
      </c>
      <c r="G520" t="n">
        <v>2515</v>
      </c>
      <c r="H520" s="23" t="n">
        <v>299880</v>
      </c>
      <c r="I520" s="23" t="n">
        <v>316890</v>
      </c>
      <c r="J520" t="inlineStr">
        <is>
          <t>Mar</t>
        </is>
      </c>
      <c r="K520" t="n">
        <v>3</v>
      </c>
      <c r="L520" t="inlineStr">
        <is>
          <t>Q1</t>
        </is>
      </c>
      <c r="M520" t="n">
        <v>2024</v>
      </c>
      <c r="N520" s="22" t="n">
        <v>45352</v>
      </c>
      <c r="O520" s="24" t="n">
        <v>0.9463220675944334</v>
      </c>
      <c r="P520" s="23" t="n">
        <v>-17010</v>
      </c>
    </row>
    <row r="521">
      <c r="A521" t="inlineStr">
        <is>
          <t>Glucophage 1000 MG</t>
        </is>
      </c>
      <c r="B521" t="inlineStr">
        <is>
          <t>Dakahlia 1</t>
        </is>
      </c>
      <c r="C521" s="22" t="n">
        <v>45383</v>
      </c>
      <c r="D521" t="inlineStr">
        <is>
          <t>Nour El-Din</t>
        </is>
      </c>
      <c r="E521" t="n">
        <v>126</v>
      </c>
      <c r="F521" t="n">
        <v>3152</v>
      </c>
      <c r="G521" t="n">
        <v>2937</v>
      </c>
      <c r="H521" s="23" t="n">
        <v>397152</v>
      </c>
      <c r="I521" s="23" t="n">
        <v>370062</v>
      </c>
      <c r="J521" t="inlineStr">
        <is>
          <t>Apr</t>
        </is>
      </c>
      <c r="K521" t="n">
        <v>4</v>
      </c>
      <c r="L521" t="inlineStr">
        <is>
          <t>Q2</t>
        </is>
      </c>
      <c r="M521" t="n">
        <v>2024</v>
      </c>
      <c r="N521" s="22" t="n">
        <v>45383</v>
      </c>
      <c r="O521" s="24" t="n">
        <v>1.073203949608444</v>
      </c>
      <c r="P521" s="23" t="n">
        <v>27090</v>
      </c>
    </row>
    <row r="522">
      <c r="A522" t="inlineStr">
        <is>
          <t>Glucophage 1000 MG</t>
        </is>
      </c>
      <c r="B522" t="inlineStr">
        <is>
          <t>Dakahlia 1</t>
        </is>
      </c>
      <c r="C522" s="22" t="n">
        <v>45413</v>
      </c>
      <c r="D522" t="inlineStr">
        <is>
          <t>Nour El-Din</t>
        </is>
      </c>
      <c r="E522" t="n">
        <v>126</v>
      </c>
      <c r="F522" t="n">
        <v>2688</v>
      </c>
      <c r="G522" t="n">
        <v>2548</v>
      </c>
      <c r="H522" s="23" t="n">
        <v>338688</v>
      </c>
      <c r="I522" s="23" t="n">
        <v>321048</v>
      </c>
      <c r="J522" t="inlineStr">
        <is>
          <t>May</t>
        </is>
      </c>
      <c r="K522" t="n">
        <v>5</v>
      </c>
      <c r="L522" t="inlineStr">
        <is>
          <t>Q2</t>
        </is>
      </c>
      <c r="M522" t="n">
        <v>2024</v>
      </c>
      <c r="N522" s="22" t="n">
        <v>45413</v>
      </c>
      <c r="O522" s="24" t="n">
        <v>1.054945054945055</v>
      </c>
      <c r="P522" s="23" t="n">
        <v>17640</v>
      </c>
    </row>
    <row r="523">
      <c r="A523" t="inlineStr">
        <is>
          <t>Glucophage 1000 MG</t>
        </is>
      </c>
      <c r="B523" t="inlineStr">
        <is>
          <t>Dakahlia 1</t>
        </is>
      </c>
      <c r="C523" s="22" t="n">
        <v>45444</v>
      </c>
      <c r="D523" t="inlineStr">
        <is>
          <t>Nour El-Din</t>
        </is>
      </c>
      <c r="E523" t="n">
        <v>126</v>
      </c>
      <c r="F523" t="n">
        <v>2380</v>
      </c>
      <c r="G523" t="n">
        <v>2787</v>
      </c>
      <c r="H523" s="23" t="n">
        <v>299880</v>
      </c>
      <c r="I523" s="23" t="n">
        <v>351162</v>
      </c>
      <c r="J523" t="inlineStr">
        <is>
          <t>Jun</t>
        </is>
      </c>
      <c r="K523" t="n">
        <v>6</v>
      </c>
      <c r="L523" t="inlineStr">
        <is>
          <t>Q2</t>
        </is>
      </c>
      <c r="M523" t="n">
        <v>2024</v>
      </c>
      <c r="N523" s="22" t="n">
        <v>45444</v>
      </c>
      <c r="O523" s="24" t="n">
        <v>0.8539648367420165</v>
      </c>
      <c r="P523" s="23" t="n">
        <v>-51282</v>
      </c>
    </row>
    <row r="524">
      <c r="A524" t="inlineStr">
        <is>
          <t>Glucophage 1000 MG</t>
        </is>
      </c>
      <c r="B524" t="inlineStr">
        <is>
          <t>Dakahlia 1</t>
        </is>
      </c>
      <c r="C524" s="22" t="n">
        <v>45474</v>
      </c>
      <c r="D524" t="inlineStr">
        <is>
          <t>Nour El-Din</t>
        </is>
      </c>
      <c r="E524" t="n">
        <v>126</v>
      </c>
      <c r="F524" t="n">
        <v>3626</v>
      </c>
      <c r="G524" t="n">
        <v>3850</v>
      </c>
      <c r="H524" s="23" t="n">
        <v>456876</v>
      </c>
      <c r="I524" s="23" t="n">
        <v>485100</v>
      </c>
      <c r="J524" t="inlineStr">
        <is>
          <t>Jul</t>
        </is>
      </c>
      <c r="K524" t="n">
        <v>7</v>
      </c>
      <c r="L524" t="inlineStr">
        <is>
          <t>Q3</t>
        </is>
      </c>
      <c r="M524" t="n">
        <v>2024</v>
      </c>
      <c r="N524" s="22" t="n">
        <v>45474</v>
      </c>
      <c r="O524" s="24" t="n">
        <v>0.9418181818181818</v>
      </c>
      <c r="P524" s="23" t="n">
        <v>-28224</v>
      </c>
    </row>
    <row r="525">
      <c r="A525" t="inlineStr">
        <is>
          <t>Glucophage 1000 MG</t>
        </is>
      </c>
      <c r="B525" t="inlineStr">
        <is>
          <t>Dakahlia 1</t>
        </is>
      </c>
      <c r="C525" s="22" t="n">
        <v>45505</v>
      </c>
      <c r="D525" t="inlineStr">
        <is>
          <t>Nour El-Din</t>
        </is>
      </c>
      <c r="E525" t="n">
        <v>126</v>
      </c>
      <c r="F525" t="n">
        <v>2513</v>
      </c>
      <c r="G525" t="n">
        <v>2304</v>
      </c>
      <c r="H525" s="23" t="n">
        <v>316638</v>
      </c>
      <c r="I525" s="23" t="n">
        <v>290304</v>
      </c>
      <c r="J525" t="inlineStr">
        <is>
          <t>Aug</t>
        </is>
      </c>
      <c r="K525" t="n">
        <v>8</v>
      </c>
      <c r="L525" t="inlineStr">
        <is>
          <t>Q3</t>
        </is>
      </c>
      <c r="M525" t="n">
        <v>2024</v>
      </c>
      <c r="N525" s="22" t="n">
        <v>45505</v>
      </c>
      <c r="O525" s="24" t="n">
        <v>1.090711805555556</v>
      </c>
      <c r="P525" s="23" t="n">
        <v>26334</v>
      </c>
    </row>
    <row r="526">
      <c r="A526" t="inlineStr">
        <is>
          <t>Glucophage 1000 MG</t>
        </is>
      </c>
      <c r="B526" t="inlineStr">
        <is>
          <t>Dakahlia 1</t>
        </is>
      </c>
      <c r="C526" s="22" t="n">
        <v>45536</v>
      </c>
      <c r="D526" t="inlineStr">
        <is>
          <t>Nour El-Din</t>
        </is>
      </c>
      <c r="E526" t="n">
        <v>126</v>
      </c>
      <c r="F526" t="n">
        <v>2857</v>
      </c>
      <c r="G526" t="n">
        <v>2913</v>
      </c>
      <c r="H526" s="23" t="n">
        <v>359982</v>
      </c>
      <c r="I526" s="23" t="n">
        <v>367038</v>
      </c>
      <c r="J526" t="inlineStr">
        <is>
          <t>Sep</t>
        </is>
      </c>
      <c r="K526" t="n">
        <v>9</v>
      </c>
      <c r="L526" t="inlineStr">
        <is>
          <t>Q3</t>
        </is>
      </c>
      <c r="M526" t="n">
        <v>2024</v>
      </c>
      <c r="N526" s="22" t="n">
        <v>45536</v>
      </c>
      <c r="O526" s="24" t="n">
        <v>0.9807758324751116</v>
      </c>
      <c r="P526" s="23" t="n">
        <v>-7056</v>
      </c>
    </row>
    <row r="527">
      <c r="A527" t="inlineStr">
        <is>
          <t>Glucophage 1000 MG</t>
        </is>
      </c>
      <c r="B527" t="inlineStr">
        <is>
          <t>Dakahlia 1</t>
        </is>
      </c>
      <c r="C527" s="22" t="n">
        <v>45566</v>
      </c>
      <c r="D527" t="inlineStr">
        <is>
          <t>Nour El-Din</t>
        </is>
      </c>
      <c r="E527" t="n">
        <v>126</v>
      </c>
      <c r="F527" t="n">
        <v>1795</v>
      </c>
      <c r="G527" t="n">
        <v>2020</v>
      </c>
      <c r="H527" s="23" t="n">
        <v>226170</v>
      </c>
      <c r="I527" s="23" t="n">
        <v>254520</v>
      </c>
      <c r="J527" t="inlineStr">
        <is>
          <t>Oct</t>
        </is>
      </c>
      <c r="K527" t="n">
        <v>10</v>
      </c>
      <c r="L527" t="inlineStr">
        <is>
          <t>Q4</t>
        </is>
      </c>
      <c r="M527" t="n">
        <v>2024</v>
      </c>
      <c r="N527" s="22" t="n">
        <v>45566</v>
      </c>
      <c r="O527" s="24" t="n">
        <v>0.8886138613861386</v>
      </c>
      <c r="P527" s="23" t="n">
        <v>-28350</v>
      </c>
    </row>
    <row r="528">
      <c r="A528" t="inlineStr">
        <is>
          <t>Glucophage 1000 MG</t>
        </is>
      </c>
      <c r="B528" t="inlineStr">
        <is>
          <t>Dakahlia 1</t>
        </is>
      </c>
      <c r="C528" s="22" t="n">
        <v>45597</v>
      </c>
      <c r="D528" t="inlineStr">
        <is>
          <t>Nour El-Din</t>
        </is>
      </c>
      <c r="E528" t="n">
        <v>126</v>
      </c>
      <c r="F528" t="n">
        <v>3268</v>
      </c>
      <c r="G528" t="n">
        <v>3781</v>
      </c>
      <c r="H528" s="23" t="n">
        <v>411768</v>
      </c>
      <c r="I528" s="23" t="n">
        <v>476406</v>
      </c>
      <c r="J528" t="inlineStr">
        <is>
          <t>Nov</t>
        </is>
      </c>
      <c r="K528" t="n">
        <v>11</v>
      </c>
      <c r="L528" t="inlineStr">
        <is>
          <t>Q4</t>
        </is>
      </c>
      <c r="M528" t="n">
        <v>2024</v>
      </c>
      <c r="N528" s="22" t="n">
        <v>45597</v>
      </c>
      <c r="O528" s="24" t="n">
        <v>0.864321608040201</v>
      </c>
      <c r="P528" s="23" t="n">
        <v>-64638</v>
      </c>
    </row>
    <row r="529">
      <c r="A529" t="inlineStr">
        <is>
          <t>Glucophage 1000 MG</t>
        </is>
      </c>
      <c r="B529" t="inlineStr">
        <is>
          <t>Dakahlia 1</t>
        </is>
      </c>
      <c r="C529" s="22" t="n">
        <v>45627</v>
      </c>
      <c r="D529" t="inlineStr">
        <is>
          <t>Nour El-Din</t>
        </is>
      </c>
      <c r="E529" t="n">
        <v>126</v>
      </c>
      <c r="F529" t="n">
        <v>3760</v>
      </c>
      <c r="G529" t="n">
        <v>3762</v>
      </c>
      <c r="H529" s="23" t="n">
        <v>473760</v>
      </c>
      <c r="I529" s="23" t="n">
        <v>474012</v>
      </c>
      <c r="J529" t="inlineStr">
        <is>
          <t>Dec</t>
        </is>
      </c>
      <c r="K529" t="n">
        <v>12</v>
      </c>
      <c r="L529" t="inlineStr">
        <is>
          <t>Q4</t>
        </is>
      </c>
      <c r="M529" t="n">
        <v>2024</v>
      </c>
      <c r="N529" s="22" t="n">
        <v>45627</v>
      </c>
      <c r="O529" s="24" t="n">
        <v>0.9994683678894205</v>
      </c>
      <c r="P529" s="23" t="n">
        <v>-252</v>
      </c>
    </row>
    <row r="530">
      <c r="A530" t="inlineStr">
        <is>
          <t>Glucophage 1000 MG</t>
        </is>
      </c>
      <c r="B530" t="inlineStr">
        <is>
          <t>Dakahlia 2</t>
        </is>
      </c>
      <c r="C530" s="22" t="n">
        <v>45292</v>
      </c>
      <c r="D530" t="inlineStr">
        <is>
          <t>Omar Khaled</t>
        </is>
      </c>
      <c r="E530" t="n">
        <v>126</v>
      </c>
      <c r="F530" t="n">
        <v>1984</v>
      </c>
      <c r="G530" t="n">
        <v>2164</v>
      </c>
      <c r="H530" s="23" t="n">
        <v>249984</v>
      </c>
      <c r="I530" s="23" t="n">
        <v>272664</v>
      </c>
      <c r="J530" t="inlineStr">
        <is>
          <t>Jan</t>
        </is>
      </c>
      <c r="K530" t="n">
        <v>1</v>
      </c>
      <c r="L530" t="inlineStr">
        <is>
          <t>Q1</t>
        </is>
      </c>
      <c r="M530" t="n">
        <v>2024</v>
      </c>
      <c r="N530" s="22" t="n">
        <v>45292</v>
      </c>
      <c r="O530" s="24" t="n">
        <v>0.9168207024029574</v>
      </c>
      <c r="P530" s="23" t="n">
        <v>-22680</v>
      </c>
    </row>
    <row r="531">
      <c r="A531" t="inlineStr">
        <is>
          <t>Glucophage 1000 MG</t>
        </is>
      </c>
      <c r="B531" t="inlineStr">
        <is>
          <t>Dakahlia 2</t>
        </is>
      </c>
      <c r="C531" s="22" t="n">
        <v>45323</v>
      </c>
      <c r="D531" t="inlineStr">
        <is>
          <t>Omar Khaled</t>
        </is>
      </c>
      <c r="E531" t="n">
        <v>126</v>
      </c>
      <c r="F531" t="n">
        <v>3007</v>
      </c>
      <c r="G531" t="n">
        <v>3530</v>
      </c>
      <c r="H531" s="23" t="n">
        <v>378882</v>
      </c>
      <c r="I531" s="23" t="n">
        <v>444780</v>
      </c>
      <c r="J531" t="inlineStr">
        <is>
          <t>Feb</t>
        </is>
      </c>
      <c r="K531" t="n">
        <v>2</v>
      </c>
      <c r="L531" t="inlineStr">
        <is>
          <t>Q1</t>
        </is>
      </c>
      <c r="M531" t="n">
        <v>2024</v>
      </c>
      <c r="N531" s="22" t="n">
        <v>45323</v>
      </c>
      <c r="O531" s="24" t="n">
        <v>0.8518413597733711</v>
      </c>
      <c r="P531" s="23" t="n">
        <v>-65898</v>
      </c>
    </row>
    <row r="532">
      <c r="A532" t="inlineStr">
        <is>
          <t>Glucophage 1000 MG</t>
        </is>
      </c>
      <c r="B532" t="inlineStr">
        <is>
          <t>Dakahlia 2</t>
        </is>
      </c>
      <c r="C532" s="22" t="n">
        <v>45352</v>
      </c>
      <c r="D532" t="inlineStr">
        <is>
          <t>Omar Khaled</t>
        </is>
      </c>
      <c r="E532" t="n">
        <v>126</v>
      </c>
      <c r="F532" t="n">
        <v>3159</v>
      </c>
      <c r="G532" t="n">
        <v>3101</v>
      </c>
      <c r="H532" s="23" t="n">
        <v>398034</v>
      </c>
      <c r="I532" s="23" t="n">
        <v>390726</v>
      </c>
      <c r="J532" t="inlineStr">
        <is>
          <t>Mar</t>
        </is>
      </c>
      <c r="K532" t="n">
        <v>3</v>
      </c>
      <c r="L532" t="inlineStr">
        <is>
          <t>Q1</t>
        </is>
      </c>
      <c r="M532" t="n">
        <v>2024</v>
      </c>
      <c r="N532" s="22" t="n">
        <v>45352</v>
      </c>
      <c r="O532" s="24" t="n">
        <v>1.018703643985811</v>
      </c>
      <c r="P532" s="23" t="n">
        <v>7308</v>
      </c>
    </row>
    <row r="533">
      <c r="A533" t="inlineStr">
        <is>
          <t>Glucophage 1000 MG</t>
        </is>
      </c>
      <c r="B533" t="inlineStr">
        <is>
          <t>Dakahlia 2</t>
        </is>
      </c>
      <c r="C533" s="22" t="n">
        <v>45383</v>
      </c>
      <c r="D533" t="inlineStr">
        <is>
          <t>Omar Khaled</t>
        </is>
      </c>
      <c r="E533" t="n">
        <v>126</v>
      </c>
      <c r="F533" t="n">
        <v>2590</v>
      </c>
      <c r="G533" t="n">
        <v>2608</v>
      </c>
      <c r="H533" s="23" t="n">
        <v>326340</v>
      </c>
      <c r="I533" s="23" t="n">
        <v>328608</v>
      </c>
      <c r="J533" t="inlineStr">
        <is>
          <t>Apr</t>
        </is>
      </c>
      <c r="K533" t="n">
        <v>4</v>
      </c>
      <c r="L533" t="inlineStr">
        <is>
          <t>Q2</t>
        </is>
      </c>
      <c r="M533" t="n">
        <v>2024</v>
      </c>
      <c r="N533" s="22" t="n">
        <v>45383</v>
      </c>
      <c r="O533" s="24" t="n">
        <v>0.9930981595092024</v>
      </c>
      <c r="P533" s="23" t="n">
        <v>-2268</v>
      </c>
    </row>
    <row r="534">
      <c r="A534" t="inlineStr">
        <is>
          <t>Glucophage 1000 MG</t>
        </is>
      </c>
      <c r="B534" t="inlineStr">
        <is>
          <t>Dakahlia 2</t>
        </is>
      </c>
      <c r="C534" s="22" t="n">
        <v>45413</v>
      </c>
      <c r="D534" t="inlineStr">
        <is>
          <t>Omar Khaled</t>
        </is>
      </c>
      <c r="E534" t="n">
        <v>126</v>
      </c>
      <c r="F534" t="n">
        <v>2184</v>
      </c>
      <c r="G534" t="n">
        <v>2485</v>
      </c>
      <c r="H534" s="23" t="n">
        <v>275184</v>
      </c>
      <c r="I534" s="23" t="n">
        <v>313110</v>
      </c>
      <c r="J534" t="inlineStr">
        <is>
          <t>May</t>
        </is>
      </c>
      <c r="K534" t="n">
        <v>5</v>
      </c>
      <c r="L534" t="inlineStr">
        <is>
          <t>Q2</t>
        </is>
      </c>
      <c r="M534" t="n">
        <v>2024</v>
      </c>
      <c r="N534" s="22" t="n">
        <v>45413</v>
      </c>
      <c r="O534" s="24" t="n">
        <v>0.8788732394366198</v>
      </c>
      <c r="P534" s="23" t="n">
        <v>-37926</v>
      </c>
    </row>
    <row r="535">
      <c r="A535" t="inlineStr">
        <is>
          <t>Glucophage 1000 MG</t>
        </is>
      </c>
      <c r="B535" t="inlineStr">
        <is>
          <t>Dakahlia 2</t>
        </is>
      </c>
      <c r="C535" s="22" t="n">
        <v>45444</v>
      </c>
      <c r="D535" t="inlineStr">
        <is>
          <t>Omar Khaled</t>
        </is>
      </c>
      <c r="E535" t="n">
        <v>126</v>
      </c>
      <c r="F535" t="n">
        <v>2829</v>
      </c>
      <c r="G535" t="n">
        <v>2638</v>
      </c>
      <c r="H535" s="23" t="n">
        <v>356454</v>
      </c>
      <c r="I535" s="23" t="n">
        <v>332388</v>
      </c>
      <c r="J535" t="inlineStr">
        <is>
          <t>Jun</t>
        </is>
      </c>
      <c r="K535" t="n">
        <v>6</v>
      </c>
      <c r="L535" t="inlineStr">
        <is>
          <t>Q2</t>
        </is>
      </c>
      <c r="M535" t="n">
        <v>2024</v>
      </c>
      <c r="N535" s="22" t="n">
        <v>45444</v>
      </c>
      <c r="O535" s="24" t="n">
        <v>1.0724033358605</v>
      </c>
      <c r="P535" s="23" t="n">
        <v>24066</v>
      </c>
    </row>
    <row r="536">
      <c r="A536" t="inlineStr">
        <is>
          <t>Glucophage 1000 MG</t>
        </is>
      </c>
      <c r="B536" t="inlineStr">
        <is>
          <t>Dakahlia 2</t>
        </is>
      </c>
      <c r="C536" s="22" t="n">
        <v>45474</v>
      </c>
      <c r="D536" t="inlineStr">
        <is>
          <t>Omar Khaled</t>
        </is>
      </c>
      <c r="E536" t="n">
        <v>126</v>
      </c>
      <c r="F536" t="n">
        <v>2909</v>
      </c>
      <c r="G536" t="n">
        <v>3141</v>
      </c>
      <c r="H536" s="23" t="n">
        <v>366534</v>
      </c>
      <c r="I536" s="23" t="n">
        <v>395766</v>
      </c>
      <c r="J536" t="inlineStr">
        <is>
          <t>Jul</t>
        </is>
      </c>
      <c r="K536" t="n">
        <v>7</v>
      </c>
      <c r="L536" t="inlineStr">
        <is>
          <t>Q3</t>
        </is>
      </c>
      <c r="M536" t="n">
        <v>2024</v>
      </c>
      <c r="N536" s="22" t="n">
        <v>45474</v>
      </c>
      <c r="O536" s="24" t="n">
        <v>0.9261381725565107</v>
      </c>
      <c r="P536" s="23" t="n">
        <v>-29232</v>
      </c>
    </row>
    <row r="537">
      <c r="A537" t="inlineStr">
        <is>
          <t>Glucophage 1000 MG</t>
        </is>
      </c>
      <c r="B537" t="inlineStr">
        <is>
          <t>Dakahlia 2</t>
        </is>
      </c>
      <c r="C537" s="22" t="n">
        <v>45505</v>
      </c>
      <c r="D537" t="inlineStr">
        <is>
          <t>Omar Khaled</t>
        </is>
      </c>
      <c r="E537" t="n">
        <v>126</v>
      </c>
      <c r="F537" t="n">
        <v>3657</v>
      </c>
      <c r="G537" t="n">
        <v>3571</v>
      </c>
      <c r="H537" s="23" t="n">
        <v>460782</v>
      </c>
      <c r="I537" s="23" t="n">
        <v>449946</v>
      </c>
      <c r="J537" t="inlineStr">
        <is>
          <t>Aug</t>
        </is>
      </c>
      <c r="K537" t="n">
        <v>8</v>
      </c>
      <c r="L537" t="inlineStr">
        <is>
          <t>Q3</t>
        </is>
      </c>
      <c r="M537" t="n">
        <v>2024</v>
      </c>
      <c r="N537" s="22" t="n">
        <v>45505</v>
      </c>
      <c r="O537" s="24" t="n">
        <v>1.024082889946794</v>
      </c>
      <c r="P537" s="23" t="n">
        <v>10836</v>
      </c>
    </row>
    <row r="538">
      <c r="A538" t="inlineStr">
        <is>
          <t>Glucophage 1000 MG</t>
        </is>
      </c>
      <c r="B538" t="inlineStr">
        <is>
          <t>Dakahlia 2</t>
        </is>
      </c>
      <c r="C538" s="22" t="n">
        <v>45536</v>
      </c>
      <c r="D538" t="inlineStr">
        <is>
          <t>Omar Khaled</t>
        </is>
      </c>
      <c r="E538" t="n">
        <v>126</v>
      </c>
      <c r="F538" t="n">
        <v>2170</v>
      </c>
      <c r="G538" t="n">
        <v>2343</v>
      </c>
      <c r="H538" s="23" t="n">
        <v>273420</v>
      </c>
      <c r="I538" s="23" t="n">
        <v>295218</v>
      </c>
      <c r="J538" t="inlineStr">
        <is>
          <t>Sep</t>
        </is>
      </c>
      <c r="K538" t="n">
        <v>9</v>
      </c>
      <c r="L538" t="inlineStr">
        <is>
          <t>Q3</t>
        </is>
      </c>
      <c r="M538" t="n">
        <v>2024</v>
      </c>
      <c r="N538" s="22" t="n">
        <v>45536</v>
      </c>
      <c r="O538" s="24" t="n">
        <v>0.9261630388390952</v>
      </c>
      <c r="P538" s="23" t="n">
        <v>-21798</v>
      </c>
    </row>
    <row r="539">
      <c r="A539" t="inlineStr">
        <is>
          <t>Glucophage 1000 MG</t>
        </is>
      </c>
      <c r="B539" t="inlineStr">
        <is>
          <t>Dakahlia 2</t>
        </is>
      </c>
      <c r="C539" s="22" t="n">
        <v>45566</v>
      </c>
      <c r="D539" t="inlineStr">
        <is>
          <t>Omar Khaled</t>
        </is>
      </c>
      <c r="E539" t="n">
        <v>126</v>
      </c>
      <c r="F539" t="n">
        <v>2849</v>
      </c>
      <c r="G539" t="n">
        <v>2640</v>
      </c>
      <c r="H539" s="23" t="n">
        <v>358974</v>
      </c>
      <c r="I539" s="23" t="n">
        <v>332640</v>
      </c>
      <c r="J539" t="inlineStr">
        <is>
          <t>Oct</t>
        </is>
      </c>
      <c r="K539" t="n">
        <v>10</v>
      </c>
      <c r="L539" t="inlineStr">
        <is>
          <t>Q4</t>
        </is>
      </c>
      <c r="M539" t="n">
        <v>2024</v>
      </c>
      <c r="N539" s="22" t="n">
        <v>45566</v>
      </c>
      <c r="O539" s="24" t="n">
        <v>1.079166666666667</v>
      </c>
      <c r="P539" s="23" t="n">
        <v>26334</v>
      </c>
    </row>
    <row r="540">
      <c r="A540" t="inlineStr">
        <is>
          <t>Glucophage 1000 MG</t>
        </is>
      </c>
      <c r="B540" t="inlineStr">
        <is>
          <t>Dakahlia 2</t>
        </is>
      </c>
      <c r="C540" s="22" t="n">
        <v>45597</v>
      </c>
      <c r="D540" t="inlineStr">
        <is>
          <t>Omar Khaled</t>
        </is>
      </c>
      <c r="E540" t="n">
        <v>126</v>
      </c>
      <c r="F540" t="n">
        <v>2500</v>
      </c>
      <c r="G540" t="n">
        <v>3789</v>
      </c>
      <c r="H540" s="23" t="n">
        <v>315000</v>
      </c>
      <c r="I540" s="23" t="n">
        <v>477414</v>
      </c>
      <c r="J540" t="inlineStr">
        <is>
          <t>Nov</t>
        </is>
      </c>
      <c r="K540" t="n">
        <v>11</v>
      </c>
      <c r="L540" t="inlineStr">
        <is>
          <t>Q4</t>
        </is>
      </c>
      <c r="M540" t="n">
        <v>2024</v>
      </c>
      <c r="N540" s="22" t="n">
        <v>45597</v>
      </c>
      <c r="O540" s="24" t="n">
        <v>0.6598046978094484</v>
      </c>
      <c r="P540" s="23" t="n">
        <v>-162414</v>
      </c>
    </row>
    <row r="541">
      <c r="A541" t="inlineStr">
        <is>
          <t>Glucophage 1000 MG</t>
        </is>
      </c>
      <c r="B541" t="inlineStr">
        <is>
          <t>Dakahlia 2</t>
        </is>
      </c>
      <c r="C541" s="22" t="n">
        <v>45627</v>
      </c>
      <c r="D541" t="inlineStr">
        <is>
          <t>Omar Khaled</t>
        </is>
      </c>
      <c r="E541" t="n">
        <v>126</v>
      </c>
      <c r="F541" t="n">
        <v>2639</v>
      </c>
      <c r="G541" t="n">
        <v>2408</v>
      </c>
      <c r="H541" s="23" t="n">
        <v>332514</v>
      </c>
      <c r="I541" s="23" t="n">
        <v>303408</v>
      </c>
      <c r="J541" t="inlineStr">
        <is>
          <t>Dec</t>
        </is>
      </c>
      <c r="K541" t="n">
        <v>12</v>
      </c>
      <c r="L541" t="inlineStr">
        <is>
          <t>Q4</t>
        </is>
      </c>
      <c r="M541" t="n">
        <v>2024</v>
      </c>
      <c r="N541" s="22" t="n">
        <v>45627</v>
      </c>
      <c r="O541" s="24" t="n">
        <v>1.095930232558139</v>
      </c>
      <c r="P541" s="23" t="n">
        <v>29106</v>
      </c>
    </row>
    <row r="542">
      <c r="A542" t="inlineStr">
        <is>
          <t>Glucophage 1000 MG</t>
        </is>
      </c>
      <c r="B542" t="inlineStr">
        <is>
          <t>Sharqia 1</t>
        </is>
      </c>
      <c r="C542" s="22" t="n">
        <v>45292</v>
      </c>
      <c r="D542" t="inlineStr">
        <is>
          <t>Sara Ibrahim</t>
        </is>
      </c>
      <c r="E542" t="n">
        <v>126</v>
      </c>
      <c r="F542" t="n">
        <v>2118</v>
      </c>
      <c r="G542" t="n">
        <v>2331</v>
      </c>
      <c r="H542" s="23" t="n">
        <v>266868</v>
      </c>
      <c r="I542" s="23" t="n">
        <v>293706</v>
      </c>
      <c r="J542" t="inlineStr">
        <is>
          <t>Jan</t>
        </is>
      </c>
      <c r="K542" t="n">
        <v>1</v>
      </c>
      <c r="L542" t="inlineStr">
        <is>
          <t>Q1</t>
        </is>
      </c>
      <c r="M542" t="n">
        <v>2024</v>
      </c>
      <c r="N542" s="22" t="n">
        <v>45292</v>
      </c>
      <c r="O542" s="24" t="n">
        <v>0.9086229086229086</v>
      </c>
      <c r="P542" s="23" t="n">
        <v>-26838</v>
      </c>
    </row>
    <row r="543">
      <c r="A543" t="inlineStr">
        <is>
          <t>Glucophage 1000 MG</t>
        </is>
      </c>
      <c r="B543" t="inlineStr">
        <is>
          <t>Sharqia 1</t>
        </is>
      </c>
      <c r="C543" s="22" t="n">
        <v>45323</v>
      </c>
      <c r="D543" t="inlineStr">
        <is>
          <t>Sara Ibrahim</t>
        </is>
      </c>
      <c r="E543" t="n">
        <v>126</v>
      </c>
      <c r="F543" t="n">
        <v>1544</v>
      </c>
      <c r="G543" t="n">
        <v>1775</v>
      </c>
      <c r="H543" s="23" t="n">
        <v>194544</v>
      </c>
      <c r="I543" s="23" t="n">
        <v>223650</v>
      </c>
      <c r="J543" t="inlineStr">
        <is>
          <t>Feb</t>
        </is>
      </c>
      <c r="K543" t="n">
        <v>2</v>
      </c>
      <c r="L543" t="inlineStr">
        <is>
          <t>Q1</t>
        </is>
      </c>
      <c r="M543" t="n">
        <v>2024</v>
      </c>
      <c r="N543" s="22" t="n">
        <v>45323</v>
      </c>
      <c r="O543" s="24" t="n">
        <v>0.8698591549295774</v>
      </c>
      <c r="P543" s="23" t="n">
        <v>-29106</v>
      </c>
    </row>
    <row r="544">
      <c r="A544" t="inlineStr">
        <is>
          <t>Glucophage 1000 MG</t>
        </is>
      </c>
      <c r="B544" t="inlineStr">
        <is>
          <t>Sharqia 1</t>
        </is>
      </c>
      <c r="C544" s="22" t="n">
        <v>45352</v>
      </c>
      <c r="D544" t="inlineStr">
        <is>
          <t>Sara Ibrahim</t>
        </is>
      </c>
      <c r="E544" t="n">
        <v>126</v>
      </c>
      <c r="F544" t="n">
        <v>2414</v>
      </c>
      <c r="G544" t="n">
        <v>2473</v>
      </c>
      <c r="H544" s="23" t="n">
        <v>304164</v>
      </c>
      <c r="I544" s="23" t="n">
        <v>311598</v>
      </c>
      <c r="J544" t="inlineStr">
        <is>
          <t>Mar</t>
        </is>
      </c>
      <c r="K544" t="n">
        <v>3</v>
      </c>
      <c r="L544" t="inlineStr">
        <is>
          <t>Q1</t>
        </is>
      </c>
      <c r="M544" t="n">
        <v>2024</v>
      </c>
      <c r="N544" s="22" t="n">
        <v>45352</v>
      </c>
      <c r="O544" s="24" t="n">
        <v>0.9761423372422159</v>
      </c>
      <c r="P544" s="23" t="n">
        <v>-7434</v>
      </c>
    </row>
    <row r="545">
      <c r="A545" t="inlineStr">
        <is>
          <t>Glucophage 1000 MG</t>
        </is>
      </c>
      <c r="B545" t="inlineStr">
        <is>
          <t>Sharqia 1</t>
        </is>
      </c>
      <c r="C545" s="22" t="n">
        <v>45383</v>
      </c>
      <c r="D545" t="inlineStr">
        <is>
          <t>Sara Ibrahim</t>
        </is>
      </c>
      <c r="E545" t="n">
        <v>126</v>
      </c>
      <c r="F545" t="n">
        <v>2569</v>
      </c>
      <c r="G545" t="n">
        <v>2954</v>
      </c>
      <c r="H545" s="23" t="n">
        <v>323694</v>
      </c>
      <c r="I545" s="23" t="n">
        <v>372204</v>
      </c>
      <c r="J545" t="inlineStr">
        <is>
          <t>Apr</t>
        </is>
      </c>
      <c r="K545" t="n">
        <v>4</v>
      </c>
      <c r="L545" t="inlineStr">
        <is>
          <t>Q2</t>
        </is>
      </c>
      <c r="M545" t="n">
        <v>2024</v>
      </c>
      <c r="N545" s="22" t="n">
        <v>45383</v>
      </c>
      <c r="O545" s="24" t="n">
        <v>0.8696682464454977</v>
      </c>
      <c r="P545" s="23" t="n">
        <v>-48510</v>
      </c>
    </row>
    <row r="546">
      <c r="A546" t="inlineStr">
        <is>
          <t>Glucophage 1000 MG</t>
        </is>
      </c>
      <c r="B546" t="inlineStr">
        <is>
          <t>Sharqia 1</t>
        </is>
      </c>
      <c r="C546" s="22" t="n">
        <v>45413</v>
      </c>
      <c r="D546" t="inlineStr">
        <is>
          <t>Sara Ibrahim</t>
        </is>
      </c>
      <c r="E546" t="n">
        <v>126</v>
      </c>
      <c r="F546" t="n">
        <v>2724</v>
      </c>
      <c r="G546" t="n">
        <v>2595</v>
      </c>
      <c r="H546" s="23" t="n">
        <v>343224</v>
      </c>
      <c r="I546" s="23" t="n">
        <v>326970</v>
      </c>
      <c r="J546" t="inlineStr">
        <is>
          <t>May</t>
        </is>
      </c>
      <c r="K546" t="n">
        <v>5</v>
      </c>
      <c r="L546" t="inlineStr">
        <is>
          <t>Q2</t>
        </is>
      </c>
      <c r="M546" t="n">
        <v>2024</v>
      </c>
      <c r="N546" s="22" t="n">
        <v>45413</v>
      </c>
      <c r="O546" s="24" t="n">
        <v>1.049710982658959</v>
      </c>
      <c r="P546" s="23" t="n">
        <v>16254</v>
      </c>
    </row>
    <row r="547">
      <c r="A547" t="inlineStr">
        <is>
          <t>Glucophage 1000 MG</t>
        </is>
      </c>
      <c r="B547" t="inlineStr">
        <is>
          <t>Sharqia 1</t>
        </is>
      </c>
      <c r="C547" s="22" t="n">
        <v>45444</v>
      </c>
      <c r="D547" t="inlineStr">
        <is>
          <t>Sara Ibrahim</t>
        </is>
      </c>
      <c r="E547" t="n">
        <v>126</v>
      </c>
      <c r="F547" t="n">
        <v>2760</v>
      </c>
      <c r="G547" t="n">
        <v>3173</v>
      </c>
      <c r="H547" s="23" t="n">
        <v>347760</v>
      </c>
      <c r="I547" s="23" t="n">
        <v>399798</v>
      </c>
      <c r="J547" t="inlineStr">
        <is>
          <t>Jun</t>
        </is>
      </c>
      <c r="K547" t="n">
        <v>6</v>
      </c>
      <c r="L547" t="inlineStr">
        <is>
          <t>Q2</t>
        </is>
      </c>
      <c r="M547" t="n">
        <v>2024</v>
      </c>
      <c r="N547" s="22" t="n">
        <v>45444</v>
      </c>
      <c r="O547" s="24" t="n">
        <v>0.8698392688307596</v>
      </c>
      <c r="P547" s="23" t="n">
        <v>-52038</v>
      </c>
    </row>
    <row r="548">
      <c r="A548" t="inlineStr">
        <is>
          <t>Glucophage 1000 MG</t>
        </is>
      </c>
      <c r="B548" t="inlineStr">
        <is>
          <t>Sharqia 1</t>
        </is>
      </c>
      <c r="C548" s="22" t="n">
        <v>45474</v>
      </c>
      <c r="D548" t="inlineStr">
        <is>
          <t>Sara Ibrahim</t>
        </is>
      </c>
      <c r="E548" t="n">
        <v>126</v>
      </c>
      <c r="F548" t="n">
        <v>1500</v>
      </c>
      <c r="G548" t="n">
        <v>3125</v>
      </c>
      <c r="H548" s="23" t="n">
        <v>189000</v>
      </c>
      <c r="I548" s="23" t="n">
        <v>393750</v>
      </c>
      <c r="J548" t="inlineStr">
        <is>
          <t>Jul</t>
        </is>
      </c>
      <c r="K548" t="n">
        <v>7</v>
      </c>
      <c r="L548" t="inlineStr">
        <is>
          <t>Q3</t>
        </is>
      </c>
      <c r="M548" t="n">
        <v>2024</v>
      </c>
      <c r="N548" s="22" t="n">
        <v>45474</v>
      </c>
      <c r="O548" s="24" t="n">
        <v>0.48</v>
      </c>
      <c r="P548" s="23" t="n">
        <v>-204750</v>
      </c>
    </row>
    <row r="549">
      <c r="A549" t="inlineStr">
        <is>
          <t>Glucophage 1000 MG</t>
        </is>
      </c>
      <c r="B549" t="inlineStr">
        <is>
          <t>Sharqia 1</t>
        </is>
      </c>
      <c r="C549" s="22" t="n">
        <v>45505</v>
      </c>
      <c r="D549" t="inlineStr">
        <is>
          <t>Sara Ibrahim</t>
        </is>
      </c>
      <c r="E549" t="n">
        <v>126</v>
      </c>
      <c r="F549" t="n">
        <v>2291</v>
      </c>
      <c r="G549" t="n">
        <v>2634</v>
      </c>
      <c r="H549" s="23" t="n">
        <v>288666</v>
      </c>
      <c r="I549" s="23" t="n">
        <v>331884</v>
      </c>
      <c r="J549" t="inlineStr">
        <is>
          <t>Aug</t>
        </is>
      </c>
      <c r="K549" t="n">
        <v>8</v>
      </c>
      <c r="L549" t="inlineStr">
        <is>
          <t>Q3</t>
        </is>
      </c>
      <c r="M549" t="n">
        <v>2024</v>
      </c>
      <c r="N549" s="22" t="n">
        <v>45505</v>
      </c>
      <c r="O549" s="24" t="n">
        <v>0.8697798025816249</v>
      </c>
      <c r="P549" s="23" t="n">
        <v>-43218</v>
      </c>
    </row>
    <row r="550">
      <c r="A550" t="inlineStr">
        <is>
          <t>Glucophage 1000 MG</t>
        </is>
      </c>
      <c r="B550" t="inlineStr">
        <is>
          <t>Sharqia 1</t>
        </is>
      </c>
      <c r="C550" s="22" t="n">
        <v>45536</v>
      </c>
      <c r="D550" t="inlineStr">
        <is>
          <t>Sara Ibrahim</t>
        </is>
      </c>
      <c r="E550" t="n">
        <v>126</v>
      </c>
      <c r="F550" t="n">
        <v>2435</v>
      </c>
      <c r="G550" t="n">
        <v>2600</v>
      </c>
      <c r="H550" s="23" t="n">
        <v>306810</v>
      </c>
      <c r="I550" s="23" t="n">
        <v>327600</v>
      </c>
      <c r="J550" t="inlineStr">
        <is>
          <t>Sep</t>
        </is>
      </c>
      <c r="K550" t="n">
        <v>9</v>
      </c>
      <c r="L550" t="inlineStr">
        <is>
          <t>Q3</t>
        </is>
      </c>
      <c r="M550" t="n">
        <v>2024</v>
      </c>
      <c r="N550" s="22" t="n">
        <v>45536</v>
      </c>
      <c r="O550" s="24" t="n">
        <v>0.9365384615384615</v>
      </c>
      <c r="P550" s="23" t="n">
        <v>-20790</v>
      </c>
    </row>
    <row r="551">
      <c r="A551" t="inlineStr">
        <is>
          <t>Glucophage 1000 MG</t>
        </is>
      </c>
      <c r="B551" t="inlineStr">
        <is>
          <t>Sharqia 1</t>
        </is>
      </c>
      <c r="C551" s="22" t="n">
        <v>45566</v>
      </c>
      <c r="D551" t="inlineStr">
        <is>
          <t>Sara Ibrahim</t>
        </is>
      </c>
      <c r="E551" t="n">
        <v>126</v>
      </c>
      <c r="F551" t="n">
        <v>1994</v>
      </c>
      <c r="G551" t="n">
        <v>2293</v>
      </c>
      <c r="H551" s="23" t="n">
        <v>251244</v>
      </c>
      <c r="I551" s="23" t="n">
        <v>288918</v>
      </c>
      <c r="J551" t="inlineStr">
        <is>
          <t>Oct</t>
        </is>
      </c>
      <c r="K551" t="n">
        <v>10</v>
      </c>
      <c r="L551" t="inlineStr">
        <is>
          <t>Q4</t>
        </is>
      </c>
      <c r="M551" t="n">
        <v>2024</v>
      </c>
      <c r="N551" s="22" t="n">
        <v>45566</v>
      </c>
      <c r="O551" s="24" t="n">
        <v>0.8696031399912778</v>
      </c>
      <c r="P551" s="23" t="n">
        <v>-37674</v>
      </c>
    </row>
    <row r="552">
      <c r="A552" t="inlineStr">
        <is>
          <t>Glucophage 1000 MG</t>
        </is>
      </c>
      <c r="B552" t="inlineStr">
        <is>
          <t>Sharqia 1</t>
        </is>
      </c>
      <c r="C552" s="22" t="n">
        <v>45597</v>
      </c>
      <c r="D552" t="inlineStr">
        <is>
          <t>Sara Ibrahim</t>
        </is>
      </c>
      <c r="E552" t="n">
        <v>126</v>
      </c>
      <c r="F552" t="n">
        <v>1884</v>
      </c>
      <c r="G552" t="n">
        <v>2213</v>
      </c>
      <c r="H552" s="23" t="n">
        <v>237384</v>
      </c>
      <c r="I552" s="23" t="n">
        <v>278838</v>
      </c>
      <c r="J552" t="inlineStr">
        <is>
          <t>Nov</t>
        </is>
      </c>
      <c r="K552" t="n">
        <v>11</v>
      </c>
      <c r="L552" t="inlineStr">
        <is>
          <t>Q4</t>
        </is>
      </c>
      <c r="M552" t="n">
        <v>2024</v>
      </c>
      <c r="N552" s="22" t="n">
        <v>45597</v>
      </c>
      <c r="O552" s="24" t="n">
        <v>0.851333032083145</v>
      </c>
      <c r="P552" s="23" t="n">
        <v>-41454</v>
      </c>
    </row>
    <row r="553">
      <c r="A553" t="inlineStr">
        <is>
          <t>Glucophage 1000 MG</t>
        </is>
      </c>
      <c r="B553" t="inlineStr">
        <is>
          <t>Sharqia 1</t>
        </is>
      </c>
      <c r="C553" s="22" t="n">
        <v>45627</v>
      </c>
      <c r="D553" t="inlineStr">
        <is>
          <t>Sara Ibrahim</t>
        </is>
      </c>
      <c r="E553" t="n">
        <v>126</v>
      </c>
      <c r="F553" t="n">
        <v>2153</v>
      </c>
      <c r="G553" t="n">
        <v>2475</v>
      </c>
      <c r="H553" s="23" t="n">
        <v>271278</v>
      </c>
      <c r="I553" s="23" t="n">
        <v>311850</v>
      </c>
      <c r="J553" t="inlineStr">
        <is>
          <t>Dec</t>
        </is>
      </c>
      <c r="K553" t="n">
        <v>12</v>
      </c>
      <c r="L553" t="inlineStr">
        <is>
          <t>Q4</t>
        </is>
      </c>
      <c r="M553" t="n">
        <v>2024</v>
      </c>
      <c r="N553" s="22" t="n">
        <v>45627</v>
      </c>
      <c r="O553" s="24" t="n">
        <v>0.8698989898989899</v>
      </c>
      <c r="P553" s="23" t="n">
        <v>-40572</v>
      </c>
    </row>
    <row r="554">
      <c r="A554" t="inlineStr">
        <is>
          <t>Glucophage 1000 MG</t>
        </is>
      </c>
      <c r="B554" t="inlineStr">
        <is>
          <t>Sharqia 2</t>
        </is>
      </c>
      <c r="C554" s="22" t="n">
        <v>45292</v>
      </c>
      <c r="D554" t="inlineStr">
        <is>
          <t>Youssef Farouk</t>
        </is>
      </c>
      <c r="E554" t="n">
        <v>126</v>
      </c>
      <c r="F554" t="n">
        <v>2748</v>
      </c>
      <c r="G554" t="n">
        <v>2975</v>
      </c>
      <c r="H554" s="23" t="n">
        <v>346248</v>
      </c>
      <c r="I554" s="23" t="n">
        <v>374850</v>
      </c>
      <c r="J554" t="inlineStr">
        <is>
          <t>Jan</t>
        </is>
      </c>
      <c r="K554" t="n">
        <v>1</v>
      </c>
      <c r="L554" t="inlineStr">
        <is>
          <t>Q1</t>
        </is>
      </c>
      <c r="M554" t="n">
        <v>2024</v>
      </c>
      <c r="N554" s="22" t="n">
        <v>45292</v>
      </c>
      <c r="O554" s="24" t="n">
        <v>0.9236974789915966</v>
      </c>
      <c r="P554" s="23" t="n">
        <v>-28602</v>
      </c>
    </row>
    <row r="555">
      <c r="A555" t="inlineStr">
        <is>
          <t>Glucophage 1000 MG</t>
        </is>
      </c>
      <c r="B555" t="inlineStr">
        <is>
          <t>Sharqia 2</t>
        </is>
      </c>
      <c r="C555" s="22" t="n">
        <v>45323</v>
      </c>
      <c r="D555" t="inlineStr">
        <is>
          <t>Youssef Farouk</t>
        </is>
      </c>
      <c r="E555" t="n">
        <v>126</v>
      </c>
      <c r="F555" t="n">
        <v>2495</v>
      </c>
      <c r="G555" t="n">
        <v>2379</v>
      </c>
      <c r="H555" s="23" t="n">
        <v>314370</v>
      </c>
      <c r="I555" s="23" t="n">
        <v>299754</v>
      </c>
      <c r="J555" t="inlineStr">
        <is>
          <t>Feb</t>
        </is>
      </c>
      <c r="K555" t="n">
        <v>2</v>
      </c>
      <c r="L555" t="inlineStr">
        <is>
          <t>Q1</t>
        </is>
      </c>
      <c r="M555" t="n">
        <v>2024</v>
      </c>
      <c r="N555" s="22" t="n">
        <v>45323</v>
      </c>
      <c r="O555" s="24" t="n">
        <v>1.048759983186213</v>
      </c>
      <c r="P555" s="23" t="n">
        <v>14616</v>
      </c>
    </row>
    <row r="556">
      <c r="A556" t="inlineStr">
        <is>
          <t>Glucophage 1000 MG</t>
        </is>
      </c>
      <c r="B556" t="inlineStr">
        <is>
          <t>Sharqia 2</t>
        </is>
      </c>
      <c r="C556" s="22" t="n">
        <v>45352</v>
      </c>
      <c r="D556" t="inlineStr">
        <is>
          <t>Youssef Farouk</t>
        </is>
      </c>
      <c r="E556" t="n">
        <v>126</v>
      </c>
      <c r="F556" t="n">
        <v>3402</v>
      </c>
      <c r="G556" t="n">
        <v>3889</v>
      </c>
      <c r="H556" s="23" t="n">
        <v>428652</v>
      </c>
      <c r="I556" s="23" t="n">
        <v>490014</v>
      </c>
      <c r="J556" t="inlineStr">
        <is>
          <t>Mar</t>
        </is>
      </c>
      <c r="K556" t="n">
        <v>3</v>
      </c>
      <c r="L556" t="inlineStr">
        <is>
          <t>Q1</t>
        </is>
      </c>
      <c r="M556" t="n">
        <v>2024</v>
      </c>
      <c r="N556" s="22" t="n">
        <v>45352</v>
      </c>
      <c r="O556" s="24" t="n">
        <v>0.8747750064283878</v>
      </c>
      <c r="P556" s="23" t="n">
        <v>-61362</v>
      </c>
    </row>
    <row r="557">
      <c r="A557" t="inlineStr">
        <is>
          <t>Glucophage 1000 MG</t>
        </is>
      </c>
      <c r="B557" t="inlineStr">
        <is>
          <t>Sharqia 2</t>
        </is>
      </c>
      <c r="C557" s="22" t="n">
        <v>45383</v>
      </c>
      <c r="D557" t="inlineStr">
        <is>
          <t>Youssef Farouk</t>
        </is>
      </c>
      <c r="E557" t="n">
        <v>126</v>
      </c>
      <c r="F557" t="n">
        <v>2563</v>
      </c>
      <c r="G557" t="n">
        <v>2200</v>
      </c>
      <c r="H557" s="23" t="n">
        <v>322938</v>
      </c>
      <c r="I557" s="23" t="n">
        <v>277200</v>
      </c>
      <c r="J557" t="inlineStr">
        <is>
          <t>Apr</t>
        </is>
      </c>
      <c r="K557" t="n">
        <v>4</v>
      </c>
      <c r="L557" t="inlineStr">
        <is>
          <t>Q2</t>
        </is>
      </c>
      <c r="M557" t="n">
        <v>2024</v>
      </c>
      <c r="N557" s="22" t="n">
        <v>45383</v>
      </c>
      <c r="O557" s="24" t="n">
        <v>1.165</v>
      </c>
      <c r="P557" s="23" t="n">
        <v>45738</v>
      </c>
    </row>
    <row r="558">
      <c r="A558" t="inlineStr">
        <is>
          <t>Glucophage 1000 MG</t>
        </is>
      </c>
      <c r="B558" t="inlineStr">
        <is>
          <t>Sharqia 2</t>
        </is>
      </c>
      <c r="C558" s="22" t="n">
        <v>45413</v>
      </c>
      <c r="D558" t="inlineStr">
        <is>
          <t>Youssef Farouk</t>
        </is>
      </c>
      <c r="E558" t="n">
        <v>126</v>
      </c>
      <c r="F558" t="n">
        <v>3527</v>
      </c>
      <c r="G558" t="n">
        <v>3777</v>
      </c>
      <c r="H558" s="23" t="n">
        <v>444402</v>
      </c>
      <c r="I558" s="23" t="n">
        <v>475902</v>
      </c>
      <c r="J558" t="inlineStr">
        <is>
          <t>May</t>
        </is>
      </c>
      <c r="K558" t="n">
        <v>5</v>
      </c>
      <c r="L558" t="inlineStr">
        <is>
          <t>Q2</t>
        </is>
      </c>
      <c r="M558" t="n">
        <v>2024</v>
      </c>
      <c r="N558" s="22" t="n">
        <v>45413</v>
      </c>
      <c r="O558" s="24" t="n">
        <v>0.933809902038655</v>
      </c>
      <c r="P558" s="23" t="n">
        <v>-31500</v>
      </c>
    </row>
    <row r="559">
      <c r="A559" t="inlineStr">
        <is>
          <t>Glucophage 1000 MG</t>
        </is>
      </c>
      <c r="B559" t="inlineStr">
        <is>
          <t>Sharqia 2</t>
        </is>
      </c>
      <c r="C559" s="22" t="n">
        <v>45444</v>
      </c>
      <c r="D559" t="inlineStr">
        <is>
          <t>Youssef Farouk</t>
        </is>
      </c>
      <c r="E559" t="n">
        <v>126</v>
      </c>
      <c r="F559" t="n">
        <v>2979</v>
      </c>
      <c r="G559" t="n">
        <v>3162</v>
      </c>
      <c r="H559" s="23" t="n">
        <v>375354</v>
      </c>
      <c r="I559" s="23" t="n">
        <v>398412</v>
      </c>
      <c r="J559" t="inlineStr">
        <is>
          <t>Jun</t>
        </is>
      </c>
      <c r="K559" t="n">
        <v>6</v>
      </c>
      <c r="L559" t="inlineStr">
        <is>
          <t>Q2</t>
        </is>
      </c>
      <c r="M559" t="n">
        <v>2024</v>
      </c>
      <c r="N559" s="22" t="n">
        <v>45444</v>
      </c>
      <c r="O559" s="24" t="n">
        <v>0.9421252371916509</v>
      </c>
      <c r="P559" s="23" t="n">
        <v>-23058</v>
      </c>
    </row>
    <row r="560">
      <c r="A560" t="inlineStr">
        <is>
          <t>Glucophage 1000 MG</t>
        </is>
      </c>
      <c r="B560" t="inlineStr">
        <is>
          <t>Sharqia 2</t>
        </is>
      </c>
      <c r="C560" s="22" t="n">
        <v>45474</v>
      </c>
      <c r="D560" t="inlineStr">
        <is>
          <t>Youssef Farouk</t>
        </is>
      </c>
      <c r="E560" t="n">
        <v>126</v>
      </c>
      <c r="F560" t="n">
        <v>2328</v>
      </c>
      <c r="G560" t="n">
        <v>2601</v>
      </c>
      <c r="H560" s="23" t="n">
        <v>293328</v>
      </c>
      <c r="I560" s="23" t="n">
        <v>327726</v>
      </c>
      <c r="J560" t="inlineStr">
        <is>
          <t>Jul</t>
        </is>
      </c>
      <c r="K560" t="n">
        <v>7</v>
      </c>
      <c r="L560" t="inlineStr">
        <is>
          <t>Q3</t>
        </is>
      </c>
      <c r="M560" t="n">
        <v>2024</v>
      </c>
      <c r="N560" s="22" t="n">
        <v>45474</v>
      </c>
      <c r="O560" s="24" t="n">
        <v>0.895040369088812</v>
      </c>
      <c r="P560" s="23" t="n">
        <v>-34398</v>
      </c>
    </row>
    <row r="561">
      <c r="A561" t="inlineStr">
        <is>
          <t>Glucophage 1000 MG</t>
        </is>
      </c>
      <c r="B561" t="inlineStr">
        <is>
          <t>Sharqia 2</t>
        </is>
      </c>
      <c r="C561" s="22" t="n">
        <v>45505</v>
      </c>
      <c r="D561" t="inlineStr">
        <is>
          <t>Youssef Farouk</t>
        </is>
      </c>
      <c r="E561" t="n">
        <v>126</v>
      </c>
      <c r="F561" t="n">
        <v>2285</v>
      </c>
      <c r="G561" t="n">
        <v>2158</v>
      </c>
      <c r="H561" s="23" t="n">
        <v>287910</v>
      </c>
      <c r="I561" s="23" t="n">
        <v>271908</v>
      </c>
      <c r="J561" t="inlineStr">
        <is>
          <t>Aug</t>
        </is>
      </c>
      <c r="K561" t="n">
        <v>8</v>
      </c>
      <c r="L561" t="inlineStr">
        <is>
          <t>Q3</t>
        </is>
      </c>
      <c r="M561" t="n">
        <v>2024</v>
      </c>
      <c r="N561" s="22" t="n">
        <v>45505</v>
      </c>
      <c r="O561" s="24" t="n">
        <v>1.05885078776645</v>
      </c>
      <c r="P561" s="23" t="n">
        <v>16002</v>
      </c>
    </row>
    <row r="562">
      <c r="A562" t="inlineStr">
        <is>
          <t>Glucophage 1000 MG</t>
        </is>
      </c>
      <c r="B562" t="inlineStr">
        <is>
          <t>Sharqia 2</t>
        </is>
      </c>
      <c r="C562" s="22" t="n">
        <v>45536</v>
      </c>
      <c r="D562" t="inlineStr">
        <is>
          <t>Youssef Farouk</t>
        </is>
      </c>
      <c r="E562" t="n">
        <v>126</v>
      </c>
      <c r="F562" t="n">
        <v>2886</v>
      </c>
      <c r="G562" t="n">
        <v>3135</v>
      </c>
      <c r="H562" s="23" t="n">
        <v>363636</v>
      </c>
      <c r="I562" s="23" t="n">
        <v>395010</v>
      </c>
      <c r="J562" t="inlineStr">
        <is>
          <t>Sep</t>
        </is>
      </c>
      <c r="K562" t="n">
        <v>9</v>
      </c>
      <c r="L562" t="inlineStr">
        <is>
          <t>Q3</t>
        </is>
      </c>
      <c r="M562" t="n">
        <v>2024</v>
      </c>
      <c r="N562" s="22" t="n">
        <v>45536</v>
      </c>
      <c r="O562" s="24" t="n">
        <v>0.9205741626794258</v>
      </c>
      <c r="P562" s="23" t="n">
        <v>-31374</v>
      </c>
    </row>
    <row r="563">
      <c r="A563" t="inlineStr">
        <is>
          <t>Glucophage 1000 MG</t>
        </is>
      </c>
      <c r="B563" t="inlineStr">
        <is>
          <t>Sharqia 2</t>
        </is>
      </c>
      <c r="C563" s="22" t="n">
        <v>45566</v>
      </c>
      <c r="D563" t="inlineStr">
        <is>
          <t>Youssef Farouk</t>
        </is>
      </c>
      <c r="E563" t="n">
        <v>126</v>
      </c>
      <c r="F563" t="n">
        <v>3152</v>
      </c>
      <c r="G563" t="n">
        <v>3698</v>
      </c>
      <c r="H563" s="23" t="n">
        <v>397152</v>
      </c>
      <c r="I563" s="23" t="n">
        <v>465948</v>
      </c>
      <c r="J563" t="inlineStr">
        <is>
          <t>Oct</t>
        </is>
      </c>
      <c r="K563" t="n">
        <v>10</v>
      </c>
      <c r="L563" t="inlineStr">
        <is>
          <t>Q4</t>
        </is>
      </c>
      <c r="M563" t="n">
        <v>2024</v>
      </c>
      <c r="N563" s="22" t="n">
        <v>45566</v>
      </c>
      <c r="O563" s="24" t="n">
        <v>0.8523526230394808</v>
      </c>
      <c r="P563" s="23" t="n">
        <v>-68796</v>
      </c>
    </row>
    <row r="564">
      <c r="A564" t="inlineStr">
        <is>
          <t>Glucophage 1000 MG</t>
        </is>
      </c>
      <c r="B564" t="inlineStr">
        <is>
          <t>Sharqia 2</t>
        </is>
      </c>
      <c r="C564" s="22" t="n">
        <v>45597</v>
      </c>
      <c r="D564" t="inlineStr">
        <is>
          <t>Youssef Farouk</t>
        </is>
      </c>
      <c r="E564" t="n">
        <v>126</v>
      </c>
      <c r="F564" t="n">
        <v>2172</v>
      </c>
      <c r="G564" t="n">
        <v>2018</v>
      </c>
      <c r="H564" s="23" t="n">
        <v>273672</v>
      </c>
      <c r="I564" s="23" t="n">
        <v>254268</v>
      </c>
      <c r="J564" t="inlineStr">
        <is>
          <t>Nov</t>
        </is>
      </c>
      <c r="K564" t="n">
        <v>11</v>
      </c>
      <c r="L564" t="inlineStr">
        <is>
          <t>Q4</t>
        </is>
      </c>
      <c r="M564" t="n">
        <v>2024</v>
      </c>
      <c r="N564" s="22" t="n">
        <v>45597</v>
      </c>
      <c r="O564" s="24" t="n">
        <v>1.076313181367691</v>
      </c>
      <c r="P564" s="23" t="n">
        <v>19404</v>
      </c>
    </row>
    <row r="565">
      <c r="A565" t="inlineStr">
        <is>
          <t>Glucophage 1000 MG</t>
        </is>
      </c>
      <c r="B565" t="inlineStr">
        <is>
          <t>Sharqia 2</t>
        </is>
      </c>
      <c r="C565" s="22" t="n">
        <v>45627</v>
      </c>
      <c r="D565" t="inlineStr">
        <is>
          <t>Youssef Farouk</t>
        </is>
      </c>
      <c r="E565" t="n">
        <v>126</v>
      </c>
      <c r="F565" t="n">
        <v>2931</v>
      </c>
      <c r="G565" t="n">
        <v>3133</v>
      </c>
      <c r="H565" s="23" t="n">
        <v>369306</v>
      </c>
      <c r="I565" s="23" t="n">
        <v>394758</v>
      </c>
      <c r="J565" t="inlineStr">
        <is>
          <t>Dec</t>
        </is>
      </c>
      <c r="K565" t="n">
        <v>12</v>
      </c>
      <c r="L565" t="inlineStr">
        <is>
          <t>Q4</t>
        </is>
      </c>
      <c r="M565" t="n">
        <v>2024</v>
      </c>
      <c r="N565" s="22" t="n">
        <v>45627</v>
      </c>
      <c r="O565" s="24" t="n">
        <v>0.9355250558570061</v>
      </c>
      <c r="P565" s="23" t="n">
        <v>-25452</v>
      </c>
    </row>
    <row r="566">
      <c r="A566" t="inlineStr">
        <is>
          <t>Glucophage 500 MG</t>
        </is>
      </c>
      <c r="B566" t="inlineStr">
        <is>
          <t>Alexandria 1</t>
        </is>
      </c>
      <c r="C566" s="22" t="n">
        <v>45292</v>
      </c>
      <c r="D566" t="inlineStr">
        <is>
          <t>Ahmed Hassan</t>
        </is>
      </c>
      <c r="E566" t="n">
        <v>77</v>
      </c>
      <c r="F566" t="n">
        <v>3068</v>
      </c>
      <c r="G566" t="n">
        <v>2871</v>
      </c>
      <c r="H566" s="23" t="n">
        <v>236236</v>
      </c>
      <c r="I566" s="23" t="n">
        <v>221067</v>
      </c>
      <c r="J566" t="inlineStr">
        <is>
          <t>Jan</t>
        </is>
      </c>
      <c r="K566" t="n">
        <v>1</v>
      </c>
      <c r="L566" t="inlineStr">
        <is>
          <t>Q1</t>
        </is>
      </c>
      <c r="M566" t="n">
        <v>2024</v>
      </c>
      <c r="N566" s="22" t="n">
        <v>45292</v>
      </c>
      <c r="O566" s="24" t="n">
        <v>1.068617206548241</v>
      </c>
      <c r="P566" s="23" t="n">
        <v>15169</v>
      </c>
    </row>
    <row r="567">
      <c r="A567" t="inlineStr">
        <is>
          <t>Glucophage 500 MG</t>
        </is>
      </c>
      <c r="B567" t="inlineStr">
        <is>
          <t>Alexandria 1</t>
        </is>
      </c>
      <c r="C567" s="22" t="n">
        <v>45323</v>
      </c>
      <c r="D567" t="inlineStr">
        <is>
          <t>Ahmed Hassan</t>
        </is>
      </c>
      <c r="E567" t="n">
        <v>77</v>
      </c>
      <c r="F567" t="n">
        <v>2506</v>
      </c>
      <c r="G567" t="n">
        <v>2459</v>
      </c>
      <c r="H567" s="23" t="n">
        <v>192962</v>
      </c>
      <c r="I567" s="23" t="n">
        <v>189343</v>
      </c>
      <c r="J567" t="inlineStr">
        <is>
          <t>Feb</t>
        </is>
      </c>
      <c r="K567" t="n">
        <v>2</v>
      </c>
      <c r="L567" t="inlineStr">
        <is>
          <t>Q1</t>
        </is>
      </c>
      <c r="M567" t="n">
        <v>2024</v>
      </c>
      <c r="N567" s="22" t="n">
        <v>45323</v>
      </c>
      <c r="O567" s="24" t="n">
        <v>1.019113460756405</v>
      </c>
      <c r="P567" s="23" t="n">
        <v>3619</v>
      </c>
    </row>
    <row r="568">
      <c r="A568" t="inlineStr">
        <is>
          <t>Glucophage 500 MG</t>
        </is>
      </c>
      <c r="B568" t="inlineStr">
        <is>
          <t>Alexandria 1</t>
        </is>
      </c>
      <c r="C568" s="22" t="n">
        <v>45352</v>
      </c>
      <c r="D568" t="inlineStr">
        <is>
          <t>Ahmed Hassan</t>
        </is>
      </c>
      <c r="E568" t="n">
        <v>77</v>
      </c>
      <c r="F568" t="n">
        <v>2974</v>
      </c>
      <c r="G568" t="n">
        <v>3154</v>
      </c>
      <c r="H568" s="23" t="n">
        <v>228998</v>
      </c>
      <c r="I568" s="23" t="n">
        <v>242858</v>
      </c>
      <c r="J568" t="inlineStr">
        <is>
          <t>Mar</t>
        </is>
      </c>
      <c r="K568" t="n">
        <v>3</v>
      </c>
      <c r="L568" t="inlineStr">
        <is>
          <t>Q1</t>
        </is>
      </c>
      <c r="M568" t="n">
        <v>2024</v>
      </c>
      <c r="N568" s="22" t="n">
        <v>45352</v>
      </c>
      <c r="O568" s="24" t="n">
        <v>0.9429296131896006</v>
      </c>
      <c r="P568" s="23" t="n">
        <v>-13860</v>
      </c>
    </row>
    <row r="569">
      <c r="A569" t="inlineStr">
        <is>
          <t>Glucophage 500 MG</t>
        </is>
      </c>
      <c r="B569" t="inlineStr">
        <is>
          <t>Alexandria 1</t>
        </is>
      </c>
      <c r="C569" s="22" t="n">
        <v>45383</v>
      </c>
      <c r="D569" t="inlineStr">
        <is>
          <t>Ahmed Hassan</t>
        </is>
      </c>
      <c r="E569" t="n">
        <v>77</v>
      </c>
      <c r="F569" t="n">
        <v>3500</v>
      </c>
      <c r="G569" t="n">
        <v>3966</v>
      </c>
      <c r="H569" s="23" t="n">
        <v>269500</v>
      </c>
      <c r="I569" s="23" t="n">
        <v>305382</v>
      </c>
      <c r="J569" t="inlineStr">
        <is>
          <t>Apr</t>
        </is>
      </c>
      <c r="K569" t="n">
        <v>4</v>
      </c>
      <c r="L569" t="inlineStr">
        <is>
          <t>Q2</t>
        </is>
      </c>
      <c r="M569" t="n">
        <v>2024</v>
      </c>
      <c r="N569" s="22" t="n">
        <v>45383</v>
      </c>
      <c r="O569" s="24" t="n">
        <v>0.8825012607160867</v>
      </c>
      <c r="P569" s="23" t="n">
        <v>-35882</v>
      </c>
    </row>
    <row r="570">
      <c r="A570" t="inlineStr">
        <is>
          <t>Glucophage 500 MG</t>
        </is>
      </c>
      <c r="B570" t="inlineStr">
        <is>
          <t>Alexandria 1</t>
        </is>
      </c>
      <c r="C570" s="22" t="n">
        <v>45413</v>
      </c>
      <c r="D570" t="inlineStr">
        <is>
          <t>Ahmed Hassan</t>
        </is>
      </c>
      <c r="E570" t="n">
        <v>77</v>
      </c>
      <c r="F570" t="n">
        <v>3343</v>
      </c>
      <c r="G570" t="n">
        <v>2500</v>
      </c>
      <c r="H570" s="23" t="n">
        <v>257411</v>
      </c>
      <c r="I570" s="23" t="n">
        <v>192500</v>
      </c>
      <c r="J570" t="inlineStr">
        <is>
          <t>May</t>
        </is>
      </c>
      <c r="K570" t="n">
        <v>5</v>
      </c>
      <c r="L570" t="inlineStr">
        <is>
          <t>Q2</t>
        </is>
      </c>
      <c r="M570" t="n">
        <v>2024</v>
      </c>
      <c r="N570" s="22" t="n">
        <v>45413</v>
      </c>
      <c r="O570" s="24" t="n">
        <v>1.3372</v>
      </c>
      <c r="P570" s="23" t="n">
        <v>64911</v>
      </c>
    </row>
    <row r="571">
      <c r="A571" t="inlineStr">
        <is>
          <t>Glucophage 500 MG</t>
        </is>
      </c>
      <c r="B571" t="inlineStr">
        <is>
          <t>Alexandria 1</t>
        </is>
      </c>
      <c r="C571" s="22" t="n">
        <v>45444</v>
      </c>
      <c r="D571" t="inlineStr">
        <is>
          <t>Ahmed Hassan</t>
        </is>
      </c>
      <c r="E571" t="n">
        <v>77</v>
      </c>
      <c r="F571" t="n">
        <v>1807</v>
      </c>
      <c r="G571" t="n">
        <v>2014</v>
      </c>
      <c r="H571" s="23" t="n">
        <v>139139</v>
      </c>
      <c r="I571" s="23" t="n">
        <v>155078</v>
      </c>
      <c r="J571" t="inlineStr">
        <is>
          <t>Jun</t>
        </is>
      </c>
      <c r="K571" t="n">
        <v>6</v>
      </c>
      <c r="L571" t="inlineStr">
        <is>
          <t>Q2</t>
        </is>
      </c>
      <c r="M571" t="n">
        <v>2024</v>
      </c>
      <c r="N571" s="22" t="n">
        <v>45444</v>
      </c>
      <c r="O571" s="24" t="n">
        <v>0.897219463753724</v>
      </c>
      <c r="P571" s="23" t="n">
        <v>-15939</v>
      </c>
    </row>
    <row r="572">
      <c r="A572" t="inlineStr">
        <is>
          <t>Glucophage 500 MG</t>
        </is>
      </c>
      <c r="B572" t="inlineStr">
        <is>
          <t>Alexandria 1</t>
        </is>
      </c>
      <c r="C572" s="22" t="n">
        <v>45474</v>
      </c>
      <c r="D572" t="inlineStr">
        <is>
          <t>Ahmed Hassan</t>
        </is>
      </c>
      <c r="E572" t="n">
        <v>77</v>
      </c>
      <c r="F572" t="n">
        <v>1906</v>
      </c>
      <c r="G572" t="n">
        <v>2134</v>
      </c>
      <c r="H572" s="23" t="n">
        <v>146762</v>
      </c>
      <c r="I572" s="23" t="n">
        <v>164318</v>
      </c>
      <c r="J572" t="inlineStr">
        <is>
          <t>Jul</t>
        </is>
      </c>
      <c r="K572" t="n">
        <v>7</v>
      </c>
      <c r="L572" t="inlineStr">
        <is>
          <t>Q3</t>
        </is>
      </c>
      <c r="M572" t="n">
        <v>2024</v>
      </c>
      <c r="N572" s="22" t="n">
        <v>45474</v>
      </c>
      <c r="O572" s="24" t="n">
        <v>0.8931583880037488</v>
      </c>
      <c r="P572" s="23" t="n">
        <v>-17556</v>
      </c>
    </row>
    <row r="573">
      <c r="A573" t="inlineStr">
        <is>
          <t>Glucophage 500 MG</t>
        </is>
      </c>
      <c r="B573" t="inlineStr">
        <is>
          <t>Alexandria 1</t>
        </is>
      </c>
      <c r="C573" s="22" t="n">
        <v>45505</v>
      </c>
      <c r="D573" t="inlineStr">
        <is>
          <t>Ahmed Hassan</t>
        </is>
      </c>
      <c r="E573" t="n">
        <v>77</v>
      </c>
      <c r="F573" t="n">
        <v>3031</v>
      </c>
      <c r="G573" t="n">
        <v>3241</v>
      </c>
      <c r="H573" s="23" t="n">
        <v>233387</v>
      </c>
      <c r="I573" s="23" t="n">
        <v>249557</v>
      </c>
      <c r="J573" t="inlineStr">
        <is>
          <t>Aug</t>
        </is>
      </c>
      <c r="K573" t="n">
        <v>8</v>
      </c>
      <c r="L573" t="inlineStr">
        <is>
          <t>Q3</t>
        </is>
      </c>
      <c r="M573" t="n">
        <v>2024</v>
      </c>
      <c r="N573" s="22" t="n">
        <v>45505</v>
      </c>
      <c r="O573" s="24" t="n">
        <v>0.9352051835853131</v>
      </c>
      <c r="P573" s="23" t="n">
        <v>-16170</v>
      </c>
    </row>
    <row r="574">
      <c r="A574" t="inlineStr">
        <is>
          <t>Glucophage 500 MG</t>
        </is>
      </c>
      <c r="B574" t="inlineStr">
        <is>
          <t>Alexandria 1</t>
        </is>
      </c>
      <c r="C574" s="22" t="n">
        <v>45536</v>
      </c>
      <c r="D574" t="inlineStr">
        <is>
          <t>Ahmed Hassan</t>
        </is>
      </c>
      <c r="E574" t="n">
        <v>77</v>
      </c>
      <c r="F574" t="n">
        <v>1996</v>
      </c>
      <c r="G574" t="n">
        <v>2230</v>
      </c>
      <c r="H574" s="23" t="n">
        <v>153692</v>
      </c>
      <c r="I574" s="23" t="n">
        <v>171710</v>
      </c>
      <c r="J574" t="inlineStr">
        <is>
          <t>Sep</t>
        </is>
      </c>
      <c r="K574" t="n">
        <v>9</v>
      </c>
      <c r="L574" t="inlineStr">
        <is>
          <t>Q3</t>
        </is>
      </c>
      <c r="M574" t="n">
        <v>2024</v>
      </c>
      <c r="N574" s="22" t="n">
        <v>45536</v>
      </c>
      <c r="O574" s="24" t="n">
        <v>0.895067264573991</v>
      </c>
      <c r="P574" s="23" t="n">
        <v>-18018</v>
      </c>
    </row>
    <row r="575">
      <c r="A575" t="inlineStr">
        <is>
          <t>Glucophage 500 MG</t>
        </is>
      </c>
      <c r="B575" t="inlineStr">
        <is>
          <t>Alexandria 1</t>
        </is>
      </c>
      <c r="C575" s="22" t="n">
        <v>45566</v>
      </c>
      <c r="D575" t="inlineStr">
        <is>
          <t>Ahmed Hassan</t>
        </is>
      </c>
      <c r="E575" t="n">
        <v>77</v>
      </c>
      <c r="F575" t="n">
        <v>3888</v>
      </c>
      <c r="G575" t="n">
        <v>3821</v>
      </c>
      <c r="H575" s="23" t="n">
        <v>299376</v>
      </c>
      <c r="I575" s="23" t="n">
        <v>294217</v>
      </c>
      <c r="J575" t="inlineStr">
        <is>
          <t>Oct</t>
        </is>
      </c>
      <c r="K575" t="n">
        <v>10</v>
      </c>
      <c r="L575" t="inlineStr">
        <is>
          <t>Q4</t>
        </is>
      </c>
      <c r="M575" t="n">
        <v>2024</v>
      </c>
      <c r="N575" s="22" t="n">
        <v>45566</v>
      </c>
      <c r="O575" s="24" t="n">
        <v>1.017534676786182</v>
      </c>
      <c r="P575" s="23" t="n">
        <v>5159</v>
      </c>
    </row>
    <row r="576">
      <c r="A576" t="inlineStr">
        <is>
          <t>Glucophage 500 MG</t>
        </is>
      </c>
      <c r="B576" t="inlineStr">
        <is>
          <t>Alexandria 1</t>
        </is>
      </c>
      <c r="C576" s="22" t="n">
        <v>45597</v>
      </c>
      <c r="D576" t="inlineStr">
        <is>
          <t>Ahmed Hassan</t>
        </is>
      </c>
      <c r="E576" t="n">
        <v>77</v>
      </c>
      <c r="F576" t="n">
        <v>3730</v>
      </c>
      <c r="G576" t="n">
        <v>3700</v>
      </c>
      <c r="H576" s="23" t="n">
        <v>287210</v>
      </c>
      <c r="I576" s="23" t="n">
        <v>284900</v>
      </c>
      <c r="J576" t="inlineStr">
        <is>
          <t>Nov</t>
        </is>
      </c>
      <c r="K576" t="n">
        <v>11</v>
      </c>
      <c r="L576" t="inlineStr">
        <is>
          <t>Q4</t>
        </is>
      </c>
      <c r="M576" t="n">
        <v>2024</v>
      </c>
      <c r="N576" s="22" t="n">
        <v>45597</v>
      </c>
      <c r="O576" s="24" t="n">
        <v>1.008108108108108</v>
      </c>
      <c r="P576" s="23" t="n">
        <v>2310</v>
      </c>
    </row>
    <row r="577">
      <c r="A577" t="inlineStr">
        <is>
          <t>Glucophage 500 MG</t>
        </is>
      </c>
      <c r="B577" t="inlineStr">
        <is>
          <t>Alexandria 1</t>
        </is>
      </c>
      <c r="C577" s="22" t="n">
        <v>45627</v>
      </c>
      <c r="D577" t="inlineStr">
        <is>
          <t>Ahmed Hassan</t>
        </is>
      </c>
      <c r="E577" t="n">
        <v>77</v>
      </c>
      <c r="F577" t="n">
        <v>2453</v>
      </c>
      <c r="G577" t="n">
        <v>3636</v>
      </c>
      <c r="H577" s="23" t="n">
        <v>188881</v>
      </c>
      <c r="I577" s="23" t="n">
        <v>279972</v>
      </c>
      <c r="J577" t="inlineStr">
        <is>
          <t>Dec</t>
        </is>
      </c>
      <c r="K577" t="n">
        <v>12</v>
      </c>
      <c r="L577" t="inlineStr">
        <is>
          <t>Q4</t>
        </is>
      </c>
      <c r="M577" t="n">
        <v>2024</v>
      </c>
      <c r="N577" s="22" t="n">
        <v>45627</v>
      </c>
      <c r="O577" s="24" t="n">
        <v>0.6746424642464246</v>
      </c>
      <c r="P577" s="23" t="n">
        <v>-91091</v>
      </c>
    </row>
    <row r="578">
      <c r="A578" t="inlineStr">
        <is>
          <t>Glucophage 500 MG</t>
        </is>
      </c>
      <c r="B578" t="inlineStr">
        <is>
          <t>Alexandria 2</t>
        </is>
      </c>
      <c r="C578" s="22" t="n">
        <v>45292</v>
      </c>
      <c r="D578" t="inlineStr">
        <is>
          <t>Amira Mostafa</t>
        </is>
      </c>
      <c r="E578" t="n">
        <v>77</v>
      </c>
      <c r="F578" t="n">
        <v>3031</v>
      </c>
      <c r="G578" t="n">
        <v>3523</v>
      </c>
      <c r="H578" s="23" t="n">
        <v>233387</v>
      </c>
      <c r="I578" s="23" t="n">
        <v>271271</v>
      </c>
      <c r="J578" t="inlineStr">
        <is>
          <t>Jan</t>
        </is>
      </c>
      <c r="K578" t="n">
        <v>1</v>
      </c>
      <c r="L578" t="inlineStr">
        <is>
          <t>Q1</t>
        </is>
      </c>
      <c r="M578" t="n">
        <v>2024</v>
      </c>
      <c r="N578" s="22" t="n">
        <v>45292</v>
      </c>
      <c r="O578" s="24" t="n">
        <v>0.86034629577065</v>
      </c>
      <c r="P578" s="23" t="n">
        <v>-37884</v>
      </c>
    </row>
    <row r="579">
      <c r="A579" t="inlineStr">
        <is>
          <t>Glucophage 500 MG</t>
        </is>
      </c>
      <c r="B579" t="inlineStr">
        <is>
          <t>Alexandria 2</t>
        </is>
      </c>
      <c r="C579" s="22" t="n">
        <v>45323</v>
      </c>
      <c r="D579" t="inlineStr">
        <is>
          <t>Amira Mostafa</t>
        </is>
      </c>
      <c r="E579" t="n">
        <v>77</v>
      </c>
      <c r="F579" t="n">
        <v>3776</v>
      </c>
      <c r="G579" t="n">
        <v>3865</v>
      </c>
      <c r="H579" s="23" t="n">
        <v>290752</v>
      </c>
      <c r="I579" s="23" t="n">
        <v>297605</v>
      </c>
      <c r="J579" t="inlineStr">
        <is>
          <t>Feb</t>
        </is>
      </c>
      <c r="K579" t="n">
        <v>2</v>
      </c>
      <c r="L579" t="inlineStr">
        <is>
          <t>Q1</t>
        </is>
      </c>
      <c r="M579" t="n">
        <v>2024</v>
      </c>
      <c r="N579" s="22" t="n">
        <v>45323</v>
      </c>
      <c r="O579" s="24" t="n">
        <v>0.9769728331177232</v>
      </c>
      <c r="P579" s="23" t="n">
        <v>-6853</v>
      </c>
    </row>
    <row r="580">
      <c r="A580" t="inlineStr">
        <is>
          <t>Glucophage 500 MG</t>
        </is>
      </c>
      <c r="B580" t="inlineStr">
        <is>
          <t>Alexandria 2</t>
        </is>
      </c>
      <c r="C580" s="22" t="n">
        <v>45352</v>
      </c>
      <c r="D580" t="inlineStr">
        <is>
          <t>Amira Mostafa</t>
        </is>
      </c>
      <c r="E580" t="n">
        <v>77</v>
      </c>
      <c r="F580" t="n">
        <v>2553</v>
      </c>
      <c r="G580" t="n">
        <v>2754</v>
      </c>
      <c r="H580" s="23" t="n">
        <v>196581</v>
      </c>
      <c r="I580" s="23" t="n">
        <v>212058</v>
      </c>
      <c r="J580" t="inlineStr">
        <is>
          <t>Mar</t>
        </is>
      </c>
      <c r="K580" t="n">
        <v>3</v>
      </c>
      <c r="L580" t="inlineStr">
        <is>
          <t>Q1</t>
        </is>
      </c>
      <c r="M580" t="n">
        <v>2024</v>
      </c>
      <c r="N580" s="22" t="n">
        <v>45352</v>
      </c>
      <c r="O580" s="24" t="n">
        <v>0.9270152505446623</v>
      </c>
      <c r="P580" s="23" t="n">
        <v>-15477</v>
      </c>
    </row>
    <row r="581">
      <c r="A581" t="inlineStr">
        <is>
          <t>Glucophage 500 MG</t>
        </is>
      </c>
      <c r="B581" t="inlineStr">
        <is>
          <t>Alexandria 2</t>
        </is>
      </c>
      <c r="C581" s="22" t="n">
        <v>45383</v>
      </c>
      <c r="D581" t="inlineStr">
        <is>
          <t>Amira Mostafa</t>
        </is>
      </c>
      <c r="E581" t="n">
        <v>77</v>
      </c>
      <c r="F581" t="n">
        <v>3329</v>
      </c>
      <c r="G581" t="n">
        <v>3233</v>
      </c>
      <c r="H581" s="23" t="n">
        <v>256333</v>
      </c>
      <c r="I581" s="23" t="n">
        <v>248941</v>
      </c>
      <c r="J581" t="inlineStr">
        <is>
          <t>Apr</t>
        </is>
      </c>
      <c r="K581" t="n">
        <v>4</v>
      </c>
      <c r="L581" t="inlineStr">
        <is>
          <t>Q2</t>
        </is>
      </c>
      <c r="M581" t="n">
        <v>2024</v>
      </c>
      <c r="N581" s="22" t="n">
        <v>45383</v>
      </c>
      <c r="O581" s="24" t="n">
        <v>1.029693782864213</v>
      </c>
      <c r="P581" s="23" t="n">
        <v>7392</v>
      </c>
    </row>
    <row r="582">
      <c r="A582" t="inlineStr">
        <is>
          <t>Glucophage 500 MG</t>
        </is>
      </c>
      <c r="B582" t="inlineStr">
        <is>
          <t>Alexandria 2</t>
        </is>
      </c>
      <c r="C582" s="22" t="n">
        <v>45413</v>
      </c>
      <c r="D582" t="inlineStr">
        <is>
          <t>Amira Mostafa</t>
        </is>
      </c>
      <c r="E582" t="n">
        <v>77</v>
      </c>
      <c r="F582" t="n">
        <v>2993</v>
      </c>
      <c r="G582" t="n">
        <v>3052</v>
      </c>
      <c r="H582" s="23" t="n">
        <v>230461</v>
      </c>
      <c r="I582" s="23" t="n">
        <v>235004</v>
      </c>
      <c r="J582" t="inlineStr">
        <is>
          <t>May</t>
        </is>
      </c>
      <c r="K582" t="n">
        <v>5</v>
      </c>
      <c r="L582" t="inlineStr">
        <is>
          <t>Q2</t>
        </is>
      </c>
      <c r="M582" t="n">
        <v>2024</v>
      </c>
      <c r="N582" s="22" t="n">
        <v>45413</v>
      </c>
      <c r="O582" s="24" t="n">
        <v>0.9806684141546527</v>
      </c>
      <c r="P582" s="23" t="n">
        <v>-4543</v>
      </c>
    </row>
    <row r="583">
      <c r="A583" t="inlineStr">
        <is>
          <t>Glucophage 500 MG</t>
        </is>
      </c>
      <c r="B583" t="inlineStr">
        <is>
          <t>Alexandria 2</t>
        </is>
      </c>
      <c r="C583" s="22" t="n">
        <v>45444</v>
      </c>
      <c r="D583" t="inlineStr">
        <is>
          <t>Amira Mostafa</t>
        </is>
      </c>
      <c r="E583" t="n">
        <v>77</v>
      </c>
      <c r="F583" t="n">
        <v>3557</v>
      </c>
      <c r="G583" t="n">
        <v>3454</v>
      </c>
      <c r="H583" s="23" t="n">
        <v>273889</v>
      </c>
      <c r="I583" s="23" t="n">
        <v>265958</v>
      </c>
      <c r="J583" t="inlineStr">
        <is>
          <t>Jun</t>
        </is>
      </c>
      <c r="K583" t="n">
        <v>6</v>
      </c>
      <c r="L583" t="inlineStr">
        <is>
          <t>Q2</t>
        </is>
      </c>
      <c r="M583" t="n">
        <v>2024</v>
      </c>
      <c r="N583" s="22" t="n">
        <v>45444</v>
      </c>
      <c r="O583" s="24" t="n">
        <v>1.029820497973364</v>
      </c>
      <c r="P583" s="23" t="n">
        <v>7931</v>
      </c>
    </row>
    <row r="584">
      <c r="A584" t="inlineStr">
        <is>
          <t>Glucophage 500 MG</t>
        </is>
      </c>
      <c r="B584" t="inlineStr">
        <is>
          <t>Alexandria 2</t>
        </is>
      </c>
      <c r="C584" s="22" t="n">
        <v>45474</v>
      </c>
      <c r="D584" t="inlineStr">
        <is>
          <t>Amira Mostafa</t>
        </is>
      </c>
      <c r="E584" t="n">
        <v>77</v>
      </c>
      <c r="F584" t="n">
        <v>2633</v>
      </c>
      <c r="G584" t="n">
        <v>2938</v>
      </c>
      <c r="H584" s="23" t="n">
        <v>202741</v>
      </c>
      <c r="I584" s="23" t="n">
        <v>226226</v>
      </c>
      <c r="J584" t="inlineStr">
        <is>
          <t>Jul</t>
        </is>
      </c>
      <c r="K584" t="n">
        <v>7</v>
      </c>
      <c r="L584" t="inlineStr">
        <is>
          <t>Q3</t>
        </is>
      </c>
      <c r="M584" t="n">
        <v>2024</v>
      </c>
      <c r="N584" s="22" t="n">
        <v>45474</v>
      </c>
      <c r="O584" s="24" t="n">
        <v>0.8961878829135467</v>
      </c>
      <c r="P584" s="23" t="n">
        <v>-23485</v>
      </c>
    </row>
    <row r="585">
      <c r="A585" t="inlineStr">
        <is>
          <t>Glucophage 500 MG</t>
        </is>
      </c>
      <c r="B585" t="inlineStr">
        <is>
          <t>Alexandria 2</t>
        </is>
      </c>
      <c r="C585" s="22" t="n">
        <v>45505</v>
      </c>
      <c r="D585" t="inlineStr">
        <is>
          <t>Amira Mostafa</t>
        </is>
      </c>
      <c r="E585" t="n">
        <v>77</v>
      </c>
      <c r="F585" t="n">
        <v>2810</v>
      </c>
      <c r="G585" t="n">
        <v>2848</v>
      </c>
      <c r="H585" s="23" t="n">
        <v>216370</v>
      </c>
      <c r="I585" s="23" t="n">
        <v>219296</v>
      </c>
      <c r="J585" t="inlineStr">
        <is>
          <t>Aug</t>
        </is>
      </c>
      <c r="K585" t="n">
        <v>8</v>
      </c>
      <c r="L585" t="inlineStr">
        <is>
          <t>Q3</t>
        </is>
      </c>
      <c r="M585" t="n">
        <v>2024</v>
      </c>
      <c r="N585" s="22" t="n">
        <v>45505</v>
      </c>
      <c r="O585" s="24" t="n">
        <v>0.9866573033707865</v>
      </c>
      <c r="P585" s="23" t="n">
        <v>-2926</v>
      </c>
    </row>
    <row r="586">
      <c r="A586" t="inlineStr">
        <is>
          <t>Glucophage 500 MG</t>
        </is>
      </c>
      <c r="B586" t="inlineStr">
        <is>
          <t>Alexandria 2</t>
        </is>
      </c>
      <c r="C586" s="22" t="n">
        <v>45536</v>
      </c>
      <c r="D586" t="inlineStr">
        <is>
          <t>Amira Mostafa</t>
        </is>
      </c>
      <c r="E586" t="n">
        <v>77</v>
      </c>
      <c r="F586" t="n">
        <v>2442</v>
      </c>
      <c r="G586" t="n">
        <v>2284</v>
      </c>
      <c r="H586" s="23" t="n">
        <v>188034</v>
      </c>
      <c r="I586" s="23" t="n">
        <v>175868</v>
      </c>
      <c r="J586" t="inlineStr">
        <is>
          <t>Sep</t>
        </is>
      </c>
      <c r="K586" t="n">
        <v>9</v>
      </c>
      <c r="L586" t="inlineStr">
        <is>
          <t>Q3</t>
        </is>
      </c>
      <c r="M586" t="n">
        <v>2024</v>
      </c>
      <c r="N586" s="22" t="n">
        <v>45536</v>
      </c>
      <c r="O586" s="24" t="n">
        <v>1.069176882661997</v>
      </c>
      <c r="P586" s="23" t="n">
        <v>12166</v>
      </c>
    </row>
    <row r="587">
      <c r="A587" t="inlineStr">
        <is>
          <t>Glucophage 500 MG</t>
        </is>
      </c>
      <c r="B587" t="inlineStr">
        <is>
          <t>Alexandria 2</t>
        </is>
      </c>
      <c r="C587" s="22" t="n">
        <v>45566</v>
      </c>
      <c r="D587" t="inlineStr">
        <is>
          <t>Amira Mostafa</t>
        </is>
      </c>
      <c r="E587" t="n">
        <v>77</v>
      </c>
      <c r="F587" t="n">
        <v>3206</v>
      </c>
      <c r="G587" t="n">
        <v>3287</v>
      </c>
      <c r="H587" s="23" t="n">
        <v>246862</v>
      </c>
      <c r="I587" s="23" t="n">
        <v>253099</v>
      </c>
      <c r="J587" t="inlineStr">
        <is>
          <t>Oct</t>
        </is>
      </c>
      <c r="K587" t="n">
        <v>10</v>
      </c>
      <c r="L587" t="inlineStr">
        <is>
          <t>Q4</t>
        </is>
      </c>
      <c r="M587" t="n">
        <v>2024</v>
      </c>
      <c r="N587" s="22" t="n">
        <v>45566</v>
      </c>
      <c r="O587" s="24" t="n">
        <v>0.9753574688165501</v>
      </c>
      <c r="P587" s="23" t="n">
        <v>-6237</v>
      </c>
    </row>
    <row r="588">
      <c r="A588" t="inlineStr">
        <is>
          <t>Glucophage 500 MG</t>
        </is>
      </c>
      <c r="B588" t="inlineStr">
        <is>
          <t>Alexandria 2</t>
        </is>
      </c>
      <c r="C588" s="22" t="n">
        <v>45597</v>
      </c>
      <c r="D588" t="inlineStr">
        <is>
          <t>Amira Mostafa</t>
        </is>
      </c>
      <c r="E588" t="n">
        <v>77</v>
      </c>
      <c r="F588" t="n">
        <v>2212</v>
      </c>
      <c r="G588" t="n">
        <v>2327</v>
      </c>
      <c r="H588" s="23" t="n">
        <v>170324</v>
      </c>
      <c r="I588" s="23" t="n">
        <v>179179</v>
      </c>
      <c r="J588" t="inlineStr">
        <is>
          <t>Nov</t>
        </is>
      </c>
      <c r="K588" t="n">
        <v>11</v>
      </c>
      <c r="L588" t="inlineStr">
        <is>
          <t>Q4</t>
        </is>
      </c>
      <c r="M588" t="n">
        <v>2024</v>
      </c>
      <c r="N588" s="22" t="n">
        <v>45597</v>
      </c>
      <c r="O588" s="24" t="n">
        <v>0.9505801461108724</v>
      </c>
      <c r="P588" s="23" t="n">
        <v>-8855</v>
      </c>
    </row>
    <row r="589">
      <c r="A589" t="inlineStr">
        <is>
          <t>Glucophage 500 MG</t>
        </is>
      </c>
      <c r="B589" t="inlineStr">
        <is>
          <t>Alexandria 2</t>
        </is>
      </c>
      <c r="C589" s="22" t="n">
        <v>45627</v>
      </c>
      <c r="D589" t="inlineStr">
        <is>
          <t>Amira Mostafa</t>
        </is>
      </c>
      <c r="E589" t="n">
        <v>77</v>
      </c>
      <c r="F589" t="n">
        <v>2700</v>
      </c>
      <c r="G589" t="n">
        <v>2468</v>
      </c>
      <c r="H589" s="23" t="n">
        <v>207900</v>
      </c>
      <c r="I589" s="23" t="n">
        <v>190036</v>
      </c>
      <c r="J589" t="inlineStr">
        <is>
          <t>Dec</t>
        </is>
      </c>
      <c r="K589" t="n">
        <v>12</v>
      </c>
      <c r="L589" t="inlineStr">
        <is>
          <t>Q4</t>
        </is>
      </c>
      <c r="M589" t="n">
        <v>2024</v>
      </c>
      <c r="N589" s="22" t="n">
        <v>45627</v>
      </c>
      <c r="O589" s="24" t="n">
        <v>1.094003241491086</v>
      </c>
      <c r="P589" s="23" t="n">
        <v>17864</v>
      </c>
    </row>
    <row r="590">
      <c r="A590" t="inlineStr">
        <is>
          <t>Glucophage 500 MG</t>
        </is>
      </c>
      <c r="B590" t="inlineStr">
        <is>
          <t>Cairo 1</t>
        </is>
      </c>
      <c r="C590" s="22" t="n">
        <v>45292</v>
      </c>
      <c r="D590" t="inlineStr">
        <is>
          <t>Fatma Ali</t>
        </is>
      </c>
      <c r="E590" t="n">
        <v>77</v>
      </c>
      <c r="F590" t="n">
        <v>2907</v>
      </c>
      <c r="G590" t="n">
        <v>2890</v>
      </c>
      <c r="H590" s="23" t="n">
        <v>223839</v>
      </c>
      <c r="I590" s="23" t="n">
        <v>222530</v>
      </c>
      <c r="J590" t="inlineStr">
        <is>
          <t>Jan</t>
        </is>
      </c>
      <c r="K590" t="n">
        <v>1</v>
      </c>
      <c r="L590" t="inlineStr">
        <is>
          <t>Q1</t>
        </is>
      </c>
      <c r="M590" t="n">
        <v>2024</v>
      </c>
      <c r="N590" s="22" t="n">
        <v>45292</v>
      </c>
      <c r="O590" s="24" t="n">
        <v>1.005882352941176</v>
      </c>
      <c r="P590" s="23" t="n">
        <v>1309</v>
      </c>
    </row>
    <row r="591">
      <c r="A591" t="inlineStr">
        <is>
          <t>Glucophage 500 MG</t>
        </is>
      </c>
      <c r="B591" t="inlineStr">
        <is>
          <t>Cairo 1</t>
        </is>
      </c>
      <c r="C591" s="22" t="n">
        <v>45323</v>
      </c>
      <c r="D591" t="inlineStr">
        <is>
          <t>Fatma Ali</t>
        </is>
      </c>
      <c r="E591" t="n">
        <v>77</v>
      </c>
      <c r="F591" t="n">
        <v>2896</v>
      </c>
      <c r="G591" t="n">
        <v>2963</v>
      </c>
      <c r="H591" s="23" t="n">
        <v>222992</v>
      </c>
      <c r="I591" s="23" t="n">
        <v>228151</v>
      </c>
      <c r="J591" t="inlineStr">
        <is>
          <t>Feb</t>
        </is>
      </c>
      <c r="K591" t="n">
        <v>2</v>
      </c>
      <c r="L591" t="inlineStr">
        <is>
          <t>Q1</t>
        </is>
      </c>
      <c r="M591" t="n">
        <v>2024</v>
      </c>
      <c r="N591" s="22" t="n">
        <v>45323</v>
      </c>
      <c r="O591" s="24" t="n">
        <v>0.9773877826527169</v>
      </c>
      <c r="P591" s="23" t="n">
        <v>-5159</v>
      </c>
    </row>
    <row r="592">
      <c r="A592" t="inlineStr">
        <is>
          <t>Glucophage 500 MG</t>
        </is>
      </c>
      <c r="B592" t="inlineStr">
        <is>
          <t>Cairo 1</t>
        </is>
      </c>
      <c r="C592" s="22" t="n">
        <v>45352</v>
      </c>
      <c r="D592" t="inlineStr">
        <is>
          <t>Fatma Ali</t>
        </is>
      </c>
      <c r="E592" t="n">
        <v>77</v>
      </c>
      <c r="F592" t="n">
        <v>3373</v>
      </c>
      <c r="G592" t="n">
        <v>3374</v>
      </c>
      <c r="H592" s="23" t="n">
        <v>259721</v>
      </c>
      <c r="I592" s="23" t="n">
        <v>259798</v>
      </c>
      <c r="J592" t="inlineStr">
        <is>
          <t>Mar</t>
        </is>
      </c>
      <c r="K592" t="n">
        <v>3</v>
      </c>
      <c r="L592" t="inlineStr">
        <is>
          <t>Q1</t>
        </is>
      </c>
      <c r="M592" t="n">
        <v>2024</v>
      </c>
      <c r="N592" s="22" t="n">
        <v>45352</v>
      </c>
      <c r="O592" s="24" t="n">
        <v>0.9997036158861885</v>
      </c>
      <c r="P592" s="23" t="n">
        <v>-77</v>
      </c>
    </row>
    <row r="593">
      <c r="A593" t="inlineStr">
        <is>
          <t>Glucophage 500 MG</t>
        </is>
      </c>
      <c r="B593" t="inlineStr">
        <is>
          <t>Cairo 1</t>
        </is>
      </c>
      <c r="C593" s="22" t="n">
        <v>45383</v>
      </c>
      <c r="D593" t="inlineStr">
        <is>
          <t>Fatma Ali</t>
        </is>
      </c>
      <c r="E593" t="n">
        <v>77</v>
      </c>
      <c r="F593" t="n">
        <v>2596</v>
      </c>
      <c r="G593" t="n">
        <v>2558</v>
      </c>
      <c r="H593" s="23" t="n">
        <v>199892</v>
      </c>
      <c r="I593" s="23" t="n">
        <v>196966</v>
      </c>
      <c r="J593" t="inlineStr">
        <is>
          <t>Apr</t>
        </is>
      </c>
      <c r="K593" t="n">
        <v>4</v>
      </c>
      <c r="L593" t="inlineStr">
        <is>
          <t>Q2</t>
        </is>
      </c>
      <c r="M593" t="n">
        <v>2024</v>
      </c>
      <c r="N593" s="22" t="n">
        <v>45383</v>
      </c>
      <c r="O593" s="24" t="n">
        <v>1.014855355746677</v>
      </c>
      <c r="P593" s="23" t="n">
        <v>2926</v>
      </c>
    </row>
    <row r="594">
      <c r="A594" t="inlineStr">
        <is>
          <t>Glucophage 500 MG</t>
        </is>
      </c>
      <c r="B594" t="inlineStr">
        <is>
          <t>Cairo 1</t>
        </is>
      </c>
      <c r="C594" s="22" t="n">
        <v>45413</v>
      </c>
      <c r="D594" t="inlineStr">
        <is>
          <t>Fatma Ali</t>
        </is>
      </c>
      <c r="E594" t="n">
        <v>77</v>
      </c>
      <c r="F594" t="n">
        <v>3103</v>
      </c>
      <c r="G594" t="n">
        <v>3316</v>
      </c>
      <c r="H594" s="23" t="n">
        <v>238931</v>
      </c>
      <c r="I594" s="23" t="n">
        <v>255332</v>
      </c>
      <c r="J594" t="inlineStr">
        <is>
          <t>May</t>
        </is>
      </c>
      <c r="K594" t="n">
        <v>5</v>
      </c>
      <c r="L594" t="inlineStr">
        <is>
          <t>Q2</t>
        </is>
      </c>
      <c r="M594" t="n">
        <v>2024</v>
      </c>
      <c r="N594" s="22" t="n">
        <v>45413</v>
      </c>
      <c r="O594" s="24" t="n">
        <v>0.9357659831121834</v>
      </c>
      <c r="P594" s="23" t="n">
        <v>-16401</v>
      </c>
    </row>
    <row r="595">
      <c r="A595" t="inlineStr">
        <is>
          <t>Glucophage 500 MG</t>
        </is>
      </c>
      <c r="B595" t="inlineStr">
        <is>
          <t>Cairo 1</t>
        </is>
      </c>
      <c r="C595" s="22" t="n">
        <v>45444</v>
      </c>
      <c r="D595" t="inlineStr">
        <is>
          <t>Fatma Ali</t>
        </is>
      </c>
      <c r="E595" t="n">
        <v>77</v>
      </c>
      <c r="F595" t="n">
        <v>2484</v>
      </c>
      <c r="G595" t="n">
        <v>2660</v>
      </c>
      <c r="H595" s="23" t="n">
        <v>191268</v>
      </c>
      <c r="I595" s="23" t="n">
        <v>204820</v>
      </c>
      <c r="J595" t="inlineStr">
        <is>
          <t>Jun</t>
        </is>
      </c>
      <c r="K595" t="n">
        <v>6</v>
      </c>
      <c r="L595" t="inlineStr">
        <is>
          <t>Q2</t>
        </is>
      </c>
      <c r="M595" t="n">
        <v>2024</v>
      </c>
      <c r="N595" s="22" t="n">
        <v>45444</v>
      </c>
      <c r="O595" s="24" t="n">
        <v>0.9338345864661655</v>
      </c>
      <c r="P595" s="23" t="n">
        <v>-13552</v>
      </c>
    </row>
    <row r="596">
      <c r="A596" t="inlineStr">
        <is>
          <t>Glucophage 500 MG</t>
        </is>
      </c>
      <c r="B596" t="inlineStr">
        <is>
          <t>Cairo 1</t>
        </is>
      </c>
      <c r="C596" s="22" t="n">
        <v>45474</v>
      </c>
      <c r="D596" t="inlineStr">
        <is>
          <t>Fatma Ali</t>
        </is>
      </c>
      <c r="E596" t="n">
        <v>77</v>
      </c>
      <c r="F596" t="n">
        <v>3046</v>
      </c>
      <c r="G596" t="n">
        <v>3577</v>
      </c>
      <c r="H596" s="23" t="n">
        <v>234542</v>
      </c>
      <c r="I596" s="23" t="n">
        <v>275429</v>
      </c>
      <c r="J596" t="inlineStr">
        <is>
          <t>Jul</t>
        </is>
      </c>
      <c r="K596" t="n">
        <v>7</v>
      </c>
      <c r="L596" t="inlineStr">
        <is>
          <t>Q3</t>
        </is>
      </c>
      <c r="M596" t="n">
        <v>2024</v>
      </c>
      <c r="N596" s="22" t="n">
        <v>45474</v>
      </c>
      <c r="O596" s="24" t="n">
        <v>0.851551579535924</v>
      </c>
      <c r="P596" s="23" t="n">
        <v>-40887</v>
      </c>
    </row>
    <row r="597">
      <c r="A597" t="inlineStr">
        <is>
          <t>Glucophage 500 MG</t>
        </is>
      </c>
      <c r="B597" t="inlineStr">
        <is>
          <t>Cairo 1</t>
        </is>
      </c>
      <c r="C597" s="22" t="n">
        <v>45505</v>
      </c>
      <c r="D597" t="inlineStr">
        <is>
          <t>Fatma Ali</t>
        </is>
      </c>
      <c r="E597" t="n">
        <v>77</v>
      </c>
      <c r="F597" t="n">
        <v>2656</v>
      </c>
      <c r="G597" t="n">
        <v>3922</v>
      </c>
      <c r="H597" s="23" t="n">
        <v>204512</v>
      </c>
      <c r="I597" s="23" t="n">
        <v>301994</v>
      </c>
      <c r="J597" t="inlineStr">
        <is>
          <t>Aug</t>
        </is>
      </c>
      <c r="K597" t="n">
        <v>8</v>
      </c>
      <c r="L597" t="inlineStr">
        <is>
          <t>Q3</t>
        </is>
      </c>
      <c r="M597" t="n">
        <v>2024</v>
      </c>
      <c r="N597" s="22" t="n">
        <v>45505</v>
      </c>
      <c r="O597" s="24" t="n">
        <v>0.6772055073941866</v>
      </c>
      <c r="P597" s="23" t="n">
        <v>-97482</v>
      </c>
    </row>
    <row r="598">
      <c r="A598" t="inlineStr">
        <is>
          <t>Glucophage 500 MG</t>
        </is>
      </c>
      <c r="B598" t="inlineStr">
        <is>
          <t>Cairo 1</t>
        </is>
      </c>
      <c r="C598" s="22" t="n">
        <v>45536</v>
      </c>
      <c r="D598" t="inlineStr">
        <is>
          <t>Fatma Ali</t>
        </is>
      </c>
      <c r="E598" t="n">
        <v>77</v>
      </c>
      <c r="F598" t="n">
        <v>3506</v>
      </c>
      <c r="G598" t="n">
        <v>3835</v>
      </c>
      <c r="H598" s="23" t="n">
        <v>269962</v>
      </c>
      <c r="I598" s="23" t="n">
        <v>295295</v>
      </c>
      <c r="J598" t="inlineStr">
        <is>
          <t>Sep</t>
        </is>
      </c>
      <c r="K598" t="n">
        <v>9</v>
      </c>
      <c r="L598" t="inlineStr">
        <is>
          <t>Q3</t>
        </is>
      </c>
      <c r="M598" t="n">
        <v>2024</v>
      </c>
      <c r="N598" s="22" t="n">
        <v>45536</v>
      </c>
      <c r="O598" s="24" t="n">
        <v>0.9142112125162972</v>
      </c>
      <c r="P598" s="23" t="n">
        <v>-25333</v>
      </c>
    </row>
    <row r="599">
      <c r="A599" t="inlineStr">
        <is>
          <t>Glucophage 500 MG</t>
        </is>
      </c>
      <c r="B599" t="inlineStr">
        <is>
          <t>Cairo 1</t>
        </is>
      </c>
      <c r="C599" s="22" t="n">
        <v>45566</v>
      </c>
      <c r="D599" t="inlineStr">
        <is>
          <t>Fatma Ali</t>
        </is>
      </c>
      <c r="E599" t="n">
        <v>77</v>
      </c>
      <c r="F599" t="n">
        <v>1984</v>
      </c>
      <c r="G599" t="n">
        <v>2286</v>
      </c>
      <c r="H599" s="23" t="n">
        <v>152768</v>
      </c>
      <c r="I599" s="23" t="n">
        <v>176022</v>
      </c>
      <c r="J599" t="inlineStr">
        <is>
          <t>Oct</t>
        </is>
      </c>
      <c r="K599" t="n">
        <v>10</v>
      </c>
      <c r="L599" t="inlineStr">
        <is>
          <t>Q4</t>
        </is>
      </c>
      <c r="M599" t="n">
        <v>2024</v>
      </c>
      <c r="N599" s="22" t="n">
        <v>45566</v>
      </c>
      <c r="O599" s="24" t="n">
        <v>0.8678915135608049</v>
      </c>
      <c r="P599" s="23" t="n">
        <v>-23254</v>
      </c>
    </row>
    <row r="600">
      <c r="A600" t="inlineStr">
        <is>
          <t>Glucophage 500 MG</t>
        </is>
      </c>
      <c r="B600" t="inlineStr">
        <is>
          <t>Cairo 1</t>
        </is>
      </c>
      <c r="C600" s="22" t="n">
        <v>45597</v>
      </c>
      <c r="D600" t="inlineStr">
        <is>
          <t>Fatma Ali</t>
        </is>
      </c>
      <c r="E600" t="n">
        <v>77</v>
      </c>
      <c r="F600" t="n">
        <v>2451</v>
      </c>
      <c r="G600" t="n">
        <v>2629</v>
      </c>
      <c r="H600" s="23" t="n">
        <v>188727</v>
      </c>
      <c r="I600" s="23" t="n">
        <v>202433</v>
      </c>
      <c r="J600" t="inlineStr">
        <is>
          <t>Nov</t>
        </is>
      </c>
      <c r="K600" t="n">
        <v>11</v>
      </c>
      <c r="L600" t="inlineStr">
        <is>
          <t>Q4</t>
        </is>
      </c>
      <c r="M600" t="n">
        <v>2024</v>
      </c>
      <c r="N600" s="22" t="n">
        <v>45597</v>
      </c>
      <c r="O600" s="24" t="n">
        <v>0.9322936477748194</v>
      </c>
      <c r="P600" s="23" t="n">
        <v>-13706</v>
      </c>
    </row>
    <row r="601">
      <c r="A601" t="inlineStr">
        <is>
          <t>Glucophage 500 MG</t>
        </is>
      </c>
      <c r="B601" t="inlineStr">
        <is>
          <t>Cairo 1</t>
        </is>
      </c>
      <c r="C601" s="22" t="n">
        <v>45627</v>
      </c>
      <c r="D601" t="inlineStr">
        <is>
          <t>Fatma Ali</t>
        </is>
      </c>
      <c r="E601" t="n">
        <v>77</v>
      </c>
      <c r="F601" t="n">
        <v>3271</v>
      </c>
      <c r="G601" t="n">
        <v>3827</v>
      </c>
      <c r="H601" s="23" t="n">
        <v>251867</v>
      </c>
      <c r="I601" s="23" t="n">
        <v>294679</v>
      </c>
      <c r="J601" t="inlineStr">
        <is>
          <t>Dec</t>
        </is>
      </c>
      <c r="K601" t="n">
        <v>12</v>
      </c>
      <c r="L601" t="inlineStr">
        <is>
          <t>Q4</t>
        </is>
      </c>
      <c r="M601" t="n">
        <v>2024</v>
      </c>
      <c r="N601" s="22" t="n">
        <v>45627</v>
      </c>
      <c r="O601" s="24" t="n">
        <v>0.8547164881107917</v>
      </c>
      <c r="P601" s="23" t="n">
        <v>-42812</v>
      </c>
    </row>
    <row r="602">
      <c r="A602" t="inlineStr">
        <is>
          <t>Glucophage 500 MG</t>
        </is>
      </c>
      <c r="B602" t="inlineStr">
        <is>
          <t>Cairo 2</t>
        </is>
      </c>
      <c r="C602" s="22" t="n">
        <v>45292</v>
      </c>
      <c r="D602" t="inlineStr">
        <is>
          <t>Hassan El-Shamy</t>
        </is>
      </c>
      <c r="E602" t="n">
        <v>77</v>
      </c>
      <c r="F602" t="n">
        <v>2051</v>
      </c>
      <c r="G602" t="n">
        <v>2231</v>
      </c>
      <c r="H602" s="23" t="n">
        <v>157927</v>
      </c>
      <c r="I602" s="23" t="n">
        <v>171787</v>
      </c>
      <c r="J602" t="inlineStr">
        <is>
          <t>Jan</t>
        </is>
      </c>
      <c r="K602" t="n">
        <v>1</v>
      </c>
      <c r="L602" t="inlineStr">
        <is>
          <t>Q1</t>
        </is>
      </c>
      <c r="M602" t="n">
        <v>2024</v>
      </c>
      <c r="N602" s="22" t="n">
        <v>45292</v>
      </c>
      <c r="O602" s="24" t="n">
        <v>0.919318691169879</v>
      </c>
      <c r="P602" s="23" t="n">
        <v>-13860</v>
      </c>
    </row>
    <row r="603">
      <c r="A603" t="inlineStr">
        <is>
          <t>Glucophage 500 MG</t>
        </is>
      </c>
      <c r="B603" t="inlineStr">
        <is>
          <t>Cairo 2</t>
        </is>
      </c>
      <c r="C603" s="22" t="n">
        <v>45323</v>
      </c>
      <c r="D603" t="inlineStr">
        <is>
          <t>Hassan El-Shamy</t>
        </is>
      </c>
      <c r="E603" t="n">
        <v>77</v>
      </c>
      <c r="F603" t="n">
        <v>3741</v>
      </c>
      <c r="G603" t="n">
        <v>3792</v>
      </c>
      <c r="H603" s="23" t="n">
        <v>288057</v>
      </c>
      <c r="I603" s="23" t="n">
        <v>291984</v>
      </c>
      <c r="J603" t="inlineStr">
        <is>
          <t>Feb</t>
        </is>
      </c>
      <c r="K603" t="n">
        <v>2</v>
      </c>
      <c r="L603" t="inlineStr">
        <is>
          <t>Q1</t>
        </is>
      </c>
      <c r="M603" t="n">
        <v>2024</v>
      </c>
      <c r="N603" s="22" t="n">
        <v>45323</v>
      </c>
      <c r="O603" s="24" t="n">
        <v>0.9865506329113924</v>
      </c>
      <c r="P603" s="23" t="n">
        <v>-3927</v>
      </c>
    </row>
    <row r="604">
      <c r="A604" t="inlineStr">
        <is>
          <t>Glucophage 500 MG</t>
        </is>
      </c>
      <c r="B604" t="inlineStr">
        <is>
          <t>Cairo 2</t>
        </is>
      </c>
      <c r="C604" s="22" t="n">
        <v>45352</v>
      </c>
      <c r="D604" t="inlineStr">
        <is>
          <t>Hassan El-Shamy</t>
        </is>
      </c>
      <c r="E604" t="n">
        <v>77</v>
      </c>
      <c r="F604" t="n">
        <v>2186</v>
      </c>
      <c r="G604" t="n">
        <v>2141</v>
      </c>
      <c r="H604" s="23" t="n">
        <v>168322</v>
      </c>
      <c r="I604" s="23" t="n">
        <v>164857</v>
      </c>
      <c r="J604" t="inlineStr">
        <is>
          <t>Mar</t>
        </is>
      </c>
      <c r="K604" t="n">
        <v>3</v>
      </c>
      <c r="L604" t="inlineStr">
        <is>
          <t>Q1</t>
        </is>
      </c>
      <c r="M604" t="n">
        <v>2024</v>
      </c>
      <c r="N604" s="22" t="n">
        <v>45352</v>
      </c>
      <c r="O604" s="24" t="n">
        <v>1.021018215787015</v>
      </c>
      <c r="P604" s="23" t="n">
        <v>3465</v>
      </c>
    </row>
    <row r="605">
      <c r="A605" t="inlineStr">
        <is>
          <t>Glucophage 500 MG</t>
        </is>
      </c>
      <c r="B605" t="inlineStr">
        <is>
          <t>Cairo 2</t>
        </is>
      </c>
      <c r="C605" s="22" t="n">
        <v>45383</v>
      </c>
      <c r="D605" t="inlineStr">
        <is>
          <t>Hassan El-Shamy</t>
        </is>
      </c>
      <c r="E605" t="n">
        <v>77</v>
      </c>
      <c r="F605" t="n">
        <v>2088</v>
      </c>
      <c r="G605" t="n">
        <v>2317</v>
      </c>
      <c r="H605" s="23" t="n">
        <v>160776</v>
      </c>
      <c r="I605" s="23" t="n">
        <v>178409</v>
      </c>
      <c r="J605" t="inlineStr">
        <is>
          <t>Apr</t>
        </is>
      </c>
      <c r="K605" t="n">
        <v>4</v>
      </c>
      <c r="L605" t="inlineStr">
        <is>
          <t>Q2</t>
        </is>
      </c>
      <c r="M605" t="n">
        <v>2024</v>
      </c>
      <c r="N605" s="22" t="n">
        <v>45383</v>
      </c>
      <c r="O605" s="24" t="n">
        <v>0.9011652999568407</v>
      </c>
      <c r="P605" s="23" t="n">
        <v>-17633</v>
      </c>
    </row>
    <row r="606">
      <c r="A606" t="inlineStr">
        <is>
          <t>Glucophage 500 MG</t>
        </is>
      </c>
      <c r="B606" t="inlineStr">
        <is>
          <t>Cairo 2</t>
        </is>
      </c>
      <c r="C606" s="22" t="n">
        <v>45413</v>
      </c>
      <c r="D606" t="inlineStr">
        <is>
          <t>Hassan El-Shamy</t>
        </is>
      </c>
      <c r="E606" t="n">
        <v>77</v>
      </c>
      <c r="F606" t="n">
        <v>2937</v>
      </c>
      <c r="G606" t="n">
        <v>2906</v>
      </c>
      <c r="H606" s="23" t="n">
        <v>226149</v>
      </c>
      <c r="I606" s="23" t="n">
        <v>223762</v>
      </c>
      <c r="J606" t="inlineStr">
        <is>
          <t>May</t>
        </is>
      </c>
      <c r="K606" t="n">
        <v>5</v>
      </c>
      <c r="L606" t="inlineStr">
        <is>
          <t>Q2</t>
        </is>
      </c>
      <c r="M606" t="n">
        <v>2024</v>
      </c>
      <c r="N606" s="22" t="n">
        <v>45413</v>
      </c>
      <c r="O606" s="24" t="n">
        <v>1.010667584308328</v>
      </c>
      <c r="P606" s="23" t="n">
        <v>2387</v>
      </c>
    </row>
    <row r="607">
      <c r="A607" t="inlineStr">
        <is>
          <t>Glucophage 500 MG</t>
        </is>
      </c>
      <c r="B607" t="inlineStr">
        <is>
          <t>Cairo 2</t>
        </is>
      </c>
      <c r="C607" s="22" t="n">
        <v>45444</v>
      </c>
      <c r="D607" t="inlineStr">
        <is>
          <t>Hassan El-Shamy</t>
        </is>
      </c>
      <c r="E607" t="n">
        <v>77</v>
      </c>
      <c r="F607" t="n">
        <v>3235</v>
      </c>
      <c r="G607" t="n">
        <v>3176</v>
      </c>
      <c r="H607" s="23" t="n">
        <v>249095</v>
      </c>
      <c r="I607" s="23" t="n">
        <v>244552</v>
      </c>
      <c r="J607" t="inlineStr">
        <is>
          <t>Jun</t>
        </is>
      </c>
      <c r="K607" t="n">
        <v>6</v>
      </c>
      <c r="L607" t="inlineStr">
        <is>
          <t>Q2</t>
        </is>
      </c>
      <c r="M607" t="n">
        <v>2024</v>
      </c>
      <c r="N607" s="22" t="n">
        <v>45444</v>
      </c>
      <c r="O607" s="24" t="n">
        <v>1.018576826196474</v>
      </c>
      <c r="P607" s="23" t="n">
        <v>4543</v>
      </c>
    </row>
    <row r="608">
      <c r="A608" t="inlineStr">
        <is>
          <t>Glucophage 500 MG</t>
        </is>
      </c>
      <c r="B608" t="inlineStr">
        <is>
          <t>Cairo 2</t>
        </is>
      </c>
      <c r="C608" s="22" t="n">
        <v>45474</v>
      </c>
      <c r="D608" t="inlineStr">
        <is>
          <t>Hassan El-Shamy</t>
        </is>
      </c>
      <c r="E608" t="n">
        <v>77</v>
      </c>
      <c r="F608" t="n">
        <v>3134</v>
      </c>
      <c r="G608" t="n">
        <v>3107</v>
      </c>
      <c r="H608" s="23" t="n">
        <v>241318</v>
      </c>
      <c r="I608" s="23" t="n">
        <v>239239</v>
      </c>
      <c r="J608" t="inlineStr">
        <is>
          <t>Jul</t>
        </is>
      </c>
      <c r="K608" t="n">
        <v>7</v>
      </c>
      <c r="L608" t="inlineStr">
        <is>
          <t>Q3</t>
        </is>
      </c>
      <c r="M608" t="n">
        <v>2024</v>
      </c>
      <c r="N608" s="22" t="n">
        <v>45474</v>
      </c>
      <c r="O608" s="24" t="n">
        <v>1.008690054715159</v>
      </c>
      <c r="P608" s="23" t="n">
        <v>2079</v>
      </c>
    </row>
    <row r="609">
      <c r="A609" t="inlineStr">
        <is>
          <t>Glucophage 500 MG</t>
        </is>
      </c>
      <c r="B609" t="inlineStr">
        <is>
          <t>Cairo 2</t>
        </is>
      </c>
      <c r="C609" s="22" t="n">
        <v>45505</v>
      </c>
      <c r="D609" t="inlineStr">
        <is>
          <t>Hassan El-Shamy</t>
        </is>
      </c>
      <c r="E609" t="n">
        <v>77</v>
      </c>
      <c r="F609" t="n">
        <v>3347</v>
      </c>
      <c r="G609" t="n">
        <v>3574</v>
      </c>
      <c r="H609" s="23" t="n">
        <v>257719</v>
      </c>
      <c r="I609" s="23" t="n">
        <v>275198</v>
      </c>
      <c r="J609" t="inlineStr">
        <is>
          <t>Aug</t>
        </is>
      </c>
      <c r="K609" t="n">
        <v>8</v>
      </c>
      <c r="L609" t="inlineStr">
        <is>
          <t>Q3</t>
        </is>
      </c>
      <c r="M609" t="n">
        <v>2024</v>
      </c>
      <c r="N609" s="22" t="n">
        <v>45505</v>
      </c>
      <c r="O609" s="24" t="n">
        <v>0.9364857302742026</v>
      </c>
      <c r="P609" s="23" t="n">
        <v>-17479</v>
      </c>
    </row>
    <row r="610">
      <c r="A610" t="inlineStr">
        <is>
          <t>Glucophage 500 MG</t>
        </is>
      </c>
      <c r="B610" t="inlineStr">
        <is>
          <t>Cairo 2</t>
        </is>
      </c>
      <c r="C610" s="22" t="n">
        <v>45536</v>
      </c>
      <c r="D610" t="inlineStr">
        <is>
          <t>Hassan El-Shamy</t>
        </is>
      </c>
      <c r="E610" t="n">
        <v>77</v>
      </c>
      <c r="F610" t="n">
        <v>3369</v>
      </c>
      <c r="G610" t="n">
        <v>3380</v>
      </c>
      <c r="H610" s="23" t="n">
        <v>259413</v>
      </c>
      <c r="I610" s="23" t="n">
        <v>260260</v>
      </c>
      <c r="J610" t="inlineStr">
        <is>
          <t>Sep</t>
        </is>
      </c>
      <c r="K610" t="n">
        <v>9</v>
      </c>
      <c r="L610" t="inlineStr">
        <is>
          <t>Q3</t>
        </is>
      </c>
      <c r="M610" t="n">
        <v>2024</v>
      </c>
      <c r="N610" s="22" t="n">
        <v>45536</v>
      </c>
      <c r="O610" s="24" t="n">
        <v>0.9967455621301775</v>
      </c>
      <c r="P610" s="23" t="n">
        <v>-847</v>
      </c>
    </row>
    <row r="611">
      <c r="A611" t="inlineStr">
        <is>
          <t>Glucophage 500 MG</t>
        </is>
      </c>
      <c r="B611" t="inlineStr">
        <is>
          <t>Cairo 2</t>
        </is>
      </c>
      <c r="C611" s="22" t="n">
        <v>45566</v>
      </c>
      <c r="D611" t="inlineStr">
        <is>
          <t>Hassan El-Shamy</t>
        </is>
      </c>
      <c r="E611" t="n">
        <v>77</v>
      </c>
      <c r="F611" t="n">
        <v>3198</v>
      </c>
      <c r="G611" t="n">
        <v>3387</v>
      </c>
      <c r="H611" s="23" t="n">
        <v>246246</v>
      </c>
      <c r="I611" s="23" t="n">
        <v>260799</v>
      </c>
      <c r="J611" t="inlineStr">
        <is>
          <t>Oct</t>
        </is>
      </c>
      <c r="K611" t="n">
        <v>10</v>
      </c>
      <c r="L611" t="inlineStr">
        <is>
          <t>Q4</t>
        </is>
      </c>
      <c r="M611" t="n">
        <v>2024</v>
      </c>
      <c r="N611" s="22" t="n">
        <v>45566</v>
      </c>
      <c r="O611" s="24" t="n">
        <v>0.9441984056687334</v>
      </c>
      <c r="P611" s="23" t="n">
        <v>-14553</v>
      </c>
    </row>
    <row r="612">
      <c r="A612" t="inlineStr">
        <is>
          <t>Glucophage 500 MG</t>
        </is>
      </c>
      <c r="B612" t="inlineStr">
        <is>
          <t>Cairo 2</t>
        </is>
      </c>
      <c r="C612" s="22" t="n">
        <v>45597</v>
      </c>
      <c r="D612" t="inlineStr">
        <is>
          <t>Hassan El-Shamy</t>
        </is>
      </c>
      <c r="E612" t="n">
        <v>77</v>
      </c>
      <c r="F612" t="n">
        <v>2631</v>
      </c>
      <c r="G612" t="n">
        <v>2932</v>
      </c>
      <c r="H612" s="23" t="n">
        <v>202587</v>
      </c>
      <c r="I612" s="23" t="n">
        <v>225764</v>
      </c>
      <c r="J612" t="inlineStr">
        <is>
          <t>Nov</t>
        </is>
      </c>
      <c r="K612" t="n">
        <v>11</v>
      </c>
      <c r="L612" t="inlineStr">
        <is>
          <t>Q4</t>
        </is>
      </c>
      <c r="M612" t="n">
        <v>2024</v>
      </c>
      <c r="N612" s="22" t="n">
        <v>45597</v>
      </c>
      <c r="O612" s="24" t="n">
        <v>0.8973396998635743</v>
      </c>
      <c r="P612" s="23" t="n">
        <v>-23177</v>
      </c>
    </row>
    <row r="613">
      <c r="A613" t="inlineStr">
        <is>
          <t>Glucophage 500 MG</t>
        </is>
      </c>
      <c r="B613" t="inlineStr">
        <is>
          <t>Cairo 2</t>
        </is>
      </c>
      <c r="C613" s="22" t="n">
        <v>45627</v>
      </c>
      <c r="D613" t="inlineStr">
        <is>
          <t>Hassan El-Shamy</t>
        </is>
      </c>
      <c r="E613" t="n">
        <v>77</v>
      </c>
      <c r="F613" t="n">
        <v>2050</v>
      </c>
      <c r="G613" t="n">
        <v>2324</v>
      </c>
      <c r="H613" s="23" t="n">
        <v>157850</v>
      </c>
      <c r="I613" s="23" t="n">
        <v>178948</v>
      </c>
      <c r="J613" t="inlineStr">
        <is>
          <t>Dec</t>
        </is>
      </c>
      <c r="K613" t="n">
        <v>12</v>
      </c>
      <c r="L613" t="inlineStr">
        <is>
          <t>Q4</t>
        </is>
      </c>
      <c r="M613" t="n">
        <v>2024</v>
      </c>
      <c r="N613" s="22" t="n">
        <v>45627</v>
      </c>
      <c r="O613" s="24" t="n">
        <v>0.8820998278829604</v>
      </c>
      <c r="P613" s="23" t="n">
        <v>-21098</v>
      </c>
    </row>
    <row r="614">
      <c r="A614" t="inlineStr">
        <is>
          <t>Glucophage 500 MG</t>
        </is>
      </c>
      <c r="B614" t="inlineStr">
        <is>
          <t>Suez</t>
        </is>
      </c>
      <c r="C614" s="22" t="n">
        <v>45292</v>
      </c>
      <c r="D614" t="inlineStr">
        <is>
          <t>Mohamed Mahmoud</t>
        </is>
      </c>
      <c r="E614" t="n">
        <v>77</v>
      </c>
      <c r="F614" t="n">
        <v>3073</v>
      </c>
      <c r="G614" t="n">
        <v>2974</v>
      </c>
      <c r="H614" s="23" t="n">
        <v>236621</v>
      </c>
      <c r="I614" s="23" t="n">
        <v>228998</v>
      </c>
      <c r="J614" t="inlineStr">
        <is>
          <t>Jan</t>
        </is>
      </c>
      <c r="K614" t="n">
        <v>1</v>
      </c>
      <c r="L614" t="inlineStr">
        <is>
          <t>Q1</t>
        </is>
      </c>
      <c r="M614" t="n">
        <v>2024</v>
      </c>
      <c r="N614" s="22" t="n">
        <v>45292</v>
      </c>
      <c r="O614" s="24" t="n">
        <v>1.033288500336248</v>
      </c>
      <c r="P614" s="23" t="n">
        <v>7623</v>
      </c>
    </row>
    <row r="615">
      <c r="A615" t="inlineStr">
        <is>
          <t>Glucophage 500 MG</t>
        </is>
      </c>
      <c r="B615" t="inlineStr">
        <is>
          <t>Suez</t>
        </is>
      </c>
      <c r="C615" s="22" t="n">
        <v>45323</v>
      </c>
      <c r="D615" t="inlineStr">
        <is>
          <t>Mohamed Mahmoud</t>
        </is>
      </c>
      <c r="E615" t="n">
        <v>77</v>
      </c>
      <c r="F615" t="n">
        <v>3197</v>
      </c>
      <c r="G615" t="n">
        <v>3686</v>
      </c>
      <c r="H615" s="23" t="n">
        <v>246169</v>
      </c>
      <c r="I615" s="23" t="n">
        <v>283822</v>
      </c>
      <c r="J615" t="inlineStr">
        <is>
          <t>Feb</t>
        </is>
      </c>
      <c r="K615" t="n">
        <v>2</v>
      </c>
      <c r="L615" t="inlineStr">
        <is>
          <t>Q1</t>
        </is>
      </c>
      <c r="M615" t="n">
        <v>2024</v>
      </c>
      <c r="N615" s="22" t="n">
        <v>45323</v>
      </c>
      <c r="O615" s="24" t="n">
        <v>0.8673358654367879</v>
      </c>
      <c r="P615" s="23" t="n">
        <v>-37653</v>
      </c>
    </row>
    <row r="616">
      <c r="A616" t="inlineStr">
        <is>
          <t>Glucophage 500 MG</t>
        </is>
      </c>
      <c r="B616" t="inlineStr">
        <is>
          <t>Suez</t>
        </is>
      </c>
      <c r="C616" s="22" t="n">
        <v>45352</v>
      </c>
      <c r="D616" t="inlineStr">
        <is>
          <t>Mohamed Mahmoud</t>
        </is>
      </c>
      <c r="E616" t="n">
        <v>77</v>
      </c>
      <c r="F616" t="n">
        <v>2617</v>
      </c>
      <c r="G616" t="n">
        <v>2869</v>
      </c>
      <c r="H616" s="23" t="n">
        <v>201509</v>
      </c>
      <c r="I616" s="23" t="n">
        <v>220913</v>
      </c>
      <c r="J616" t="inlineStr">
        <is>
          <t>Mar</t>
        </is>
      </c>
      <c r="K616" t="n">
        <v>3</v>
      </c>
      <c r="L616" t="inlineStr">
        <is>
          <t>Q1</t>
        </is>
      </c>
      <c r="M616" t="n">
        <v>2024</v>
      </c>
      <c r="N616" s="22" t="n">
        <v>45352</v>
      </c>
      <c r="O616" s="24" t="n">
        <v>0.9121645172533984</v>
      </c>
      <c r="P616" s="23" t="n">
        <v>-19404</v>
      </c>
    </row>
    <row r="617">
      <c r="A617" t="inlineStr">
        <is>
          <t>Glucophage 500 MG</t>
        </is>
      </c>
      <c r="B617" t="inlineStr">
        <is>
          <t>Suez</t>
        </is>
      </c>
      <c r="C617" s="22" t="n">
        <v>45383</v>
      </c>
      <c r="D617" t="inlineStr">
        <is>
          <t>Mohamed Mahmoud</t>
        </is>
      </c>
      <c r="E617" t="n">
        <v>77</v>
      </c>
      <c r="F617" t="n">
        <v>3745</v>
      </c>
      <c r="G617" t="n">
        <v>3468</v>
      </c>
      <c r="H617" s="23" t="n">
        <v>288365</v>
      </c>
      <c r="I617" s="23" t="n">
        <v>267036</v>
      </c>
      <c r="J617" t="inlineStr">
        <is>
          <t>Apr</t>
        </is>
      </c>
      <c r="K617" t="n">
        <v>4</v>
      </c>
      <c r="L617" t="inlineStr">
        <is>
          <t>Q2</t>
        </is>
      </c>
      <c r="M617" t="n">
        <v>2024</v>
      </c>
      <c r="N617" s="22" t="n">
        <v>45383</v>
      </c>
      <c r="O617" s="24" t="n">
        <v>1.079873125720877</v>
      </c>
      <c r="P617" s="23" t="n">
        <v>21329</v>
      </c>
    </row>
    <row r="618">
      <c r="A618" t="inlineStr">
        <is>
          <t>Glucophage 500 MG</t>
        </is>
      </c>
      <c r="B618" t="inlineStr">
        <is>
          <t>Suez</t>
        </is>
      </c>
      <c r="C618" s="22" t="n">
        <v>45413</v>
      </c>
      <c r="D618" t="inlineStr">
        <is>
          <t>Mohamed Mahmoud</t>
        </is>
      </c>
      <c r="E618" t="n">
        <v>77</v>
      </c>
      <c r="F618" t="n">
        <v>2238</v>
      </c>
      <c r="G618" t="n">
        <v>2110</v>
      </c>
      <c r="H618" s="23" t="n">
        <v>172326</v>
      </c>
      <c r="I618" s="23" t="n">
        <v>162470</v>
      </c>
      <c r="J618" t="inlineStr">
        <is>
          <t>May</t>
        </is>
      </c>
      <c r="K618" t="n">
        <v>5</v>
      </c>
      <c r="L618" t="inlineStr">
        <is>
          <t>Q2</t>
        </is>
      </c>
      <c r="M618" t="n">
        <v>2024</v>
      </c>
      <c r="N618" s="22" t="n">
        <v>45413</v>
      </c>
      <c r="O618" s="24" t="n">
        <v>1.060663507109005</v>
      </c>
      <c r="P618" s="23" t="n">
        <v>9856</v>
      </c>
    </row>
    <row r="619">
      <c r="A619" t="inlineStr">
        <is>
          <t>Glucophage 500 MG</t>
        </is>
      </c>
      <c r="B619" t="inlineStr">
        <is>
          <t>Suez</t>
        </is>
      </c>
      <c r="C619" s="22" t="n">
        <v>45444</v>
      </c>
      <c r="D619" t="inlineStr">
        <is>
          <t>Mohamed Mahmoud</t>
        </is>
      </c>
      <c r="E619" t="n">
        <v>77</v>
      </c>
      <c r="F619" t="n">
        <v>2575</v>
      </c>
      <c r="G619" t="n">
        <v>2656</v>
      </c>
      <c r="H619" s="23" t="n">
        <v>198275</v>
      </c>
      <c r="I619" s="23" t="n">
        <v>204512</v>
      </c>
      <c r="J619" t="inlineStr">
        <is>
          <t>Jun</t>
        </is>
      </c>
      <c r="K619" t="n">
        <v>6</v>
      </c>
      <c r="L619" t="inlineStr">
        <is>
          <t>Q2</t>
        </is>
      </c>
      <c r="M619" t="n">
        <v>2024</v>
      </c>
      <c r="N619" s="22" t="n">
        <v>45444</v>
      </c>
      <c r="O619" s="24" t="n">
        <v>0.9695030120481928</v>
      </c>
      <c r="P619" s="23" t="n">
        <v>-6237</v>
      </c>
    </row>
    <row r="620">
      <c r="A620" t="inlineStr">
        <is>
          <t>Glucophage 500 MG</t>
        </is>
      </c>
      <c r="B620" t="inlineStr">
        <is>
          <t>Suez</t>
        </is>
      </c>
      <c r="C620" s="22" t="n">
        <v>45474</v>
      </c>
      <c r="D620" t="inlineStr">
        <is>
          <t>Mohamed Mahmoud</t>
        </is>
      </c>
      <c r="E620" t="n">
        <v>77</v>
      </c>
      <c r="F620" t="n">
        <v>2669</v>
      </c>
      <c r="G620" t="n">
        <v>3083</v>
      </c>
      <c r="H620" s="23" t="n">
        <v>205513</v>
      </c>
      <c r="I620" s="23" t="n">
        <v>237391</v>
      </c>
      <c r="J620" t="inlineStr">
        <is>
          <t>Jul</t>
        </is>
      </c>
      <c r="K620" t="n">
        <v>7</v>
      </c>
      <c r="L620" t="inlineStr">
        <is>
          <t>Q3</t>
        </is>
      </c>
      <c r="M620" t="n">
        <v>2024</v>
      </c>
      <c r="N620" s="22" t="n">
        <v>45474</v>
      </c>
      <c r="O620" s="24" t="n">
        <v>0.8657152124554006</v>
      </c>
      <c r="P620" s="23" t="n">
        <v>-31878</v>
      </c>
    </row>
    <row r="621">
      <c r="A621" t="inlineStr">
        <is>
          <t>Glucophage 500 MG</t>
        </is>
      </c>
      <c r="B621" t="inlineStr">
        <is>
          <t>Suez</t>
        </is>
      </c>
      <c r="C621" s="22" t="n">
        <v>45505</v>
      </c>
      <c r="D621" t="inlineStr">
        <is>
          <t>Mohamed Mahmoud</t>
        </is>
      </c>
      <c r="E621" t="n">
        <v>77</v>
      </c>
      <c r="F621" t="n">
        <v>2970</v>
      </c>
      <c r="G621" t="n">
        <v>3272</v>
      </c>
      <c r="H621" s="23" t="n">
        <v>228690</v>
      </c>
      <c r="I621" s="23" t="n">
        <v>251944</v>
      </c>
      <c r="J621" t="inlineStr">
        <is>
          <t>Aug</t>
        </is>
      </c>
      <c r="K621" t="n">
        <v>8</v>
      </c>
      <c r="L621" t="inlineStr">
        <is>
          <t>Q3</t>
        </is>
      </c>
      <c r="M621" t="n">
        <v>2024</v>
      </c>
      <c r="N621" s="22" t="n">
        <v>45505</v>
      </c>
      <c r="O621" s="24" t="n">
        <v>0.9077017114914425</v>
      </c>
      <c r="P621" s="23" t="n">
        <v>-23254</v>
      </c>
    </row>
    <row r="622">
      <c r="A622" t="inlineStr">
        <is>
          <t>Glucophage 500 MG</t>
        </is>
      </c>
      <c r="B622" t="inlineStr">
        <is>
          <t>Suez</t>
        </is>
      </c>
      <c r="C622" s="22" t="n">
        <v>45536</v>
      </c>
      <c r="D622" t="inlineStr">
        <is>
          <t>Mohamed Mahmoud</t>
        </is>
      </c>
      <c r="E622" t="n">
        <v>77</v>
      </c>
      <c r="F622" t="n">
        <v>2158</v>
      </c>
      <c r="G622" t="n">
        <v>2431</v>
      </c>
      <c r="H622" s="23" t="n">
        <v>166166</v>
      </c>
      <c r="I622" s="23" t="n">
        <v>187187</v>
      </c>
      <c r="J622" t="inlineStr">
        <is>
          <t>Sep</t>
        </is>
      </c>
      <c r="K622" t="n">
        <v>9</v>
      </c>
      <c r="L622" t="inlineStr">
        <is>
          <t>Q3</t>
        </is>
      </c>
      <c r="M622" t="n">
        <v>2024</v>
      </c>
      <c r="N622" s="22" t="n">
        <v>45536</v>
      </c>
      <c r="O622" s="24" t="n">
        <v>0.8877005347593583</v>
      </c>
      <c r="P622" s="23" t="n">
        <v>-21021</v>
      </c>
    </row>
    <row r="623">
      <c r="A623" t="inlineStr">
        <is>
          <t>Glucophage 500 MG</t>
        </is>
      </c>
      <c r="B623" t="inlineStr">
        <is>
          <t>Suez</t>
        </is>
      </c>
      <c r="C623" s="22" t="n">
        <v>45566</v>
      </c>
      <c r="D623" t="inlineStr">
        <is>
          <t>Mohamed Mahmoud</t>
        </is>
      </c>
      <c r="E623" t="n">
        <v>77</v>
      </c>
      <c r="F623" t="n">
        <v>3748</v>
      </c>
      <c r="G623" t="n">
        <v>3774</v>
      </c>
      <c r="H623" s="23" t="n">
        <v>288596</v>
      </c>
      <c r="I623" s="23" t="n">
        <v>290598</v>
      </c>
      <c r="J623" t="inlineStr">
        <is>
          <t>Oct</t>
        </is>
      </c>
      <c r="K623" t="n">
        <v>10</v>
      </c>
      <c r="L623" t="inlineStr">
        <is>
          <t>Q4</t>
        </is>
      </c>
      <c r="M623" t="n">
        <v>2024</v>
      </c>
      <c r="N623" s="22" t="n">
        <v>45566</v>
      </c>
      <c r="O623" s="24" t="n">
        <v>0.9931107578166402</v>
      </c>
      <c r="P623" s="23" t="n">
        <v>-2002</v>
      </c>
    </row>
    <row r="624">
      <c r="A624" t="inlineStr">
        <is>
          <t>Glucophage 500 MG</t>
        </is>
      </c>
      <c r="B624" t="inlineStr">
        <is>
          <t>Suez</t>
        </is>
      </c>
      <c r="C624" s="22" t="n">
        <v>45597</v>
      </c>
      <c r="D624" t="inlineStr">
        <is>
          <t>Mohamed Mahmoud</t>
        </is>
      </c>
      <c r="E624" t="n">
        <v>77</v>
      </c>
      <c r="F624" t="n">
        <v>2317</v>
      </c>
      <c r="G624" t="n">
        <v>2200</v>
      </c>
      <c r="H624" s="23" t="n">
        <v>178409</v>
      </c>
      <c r="I624" s="23" t="n">
        <v>169400</v>
      </c>
      <c r="J624" t="inlineStr">
        <is>
          <t>Nov</t>
        </is>
      </c>
      <c r="K624" t="n">
        <v>11</v>
      </c>
      <c r="L624" t="inlineStr">
        <is>
          <t>Q4</t>
        </is>
      </c>
      <c r="M624" t="n">
        <v>2024</v>
      </c>
      <c r="N624" s="22" t="n">
        <v>45597</v>
      </c>
      <c r="O624" s="24" t="n">
        <v>1.053181818181818</v>
      </c>
      <c r="P624" s="23" t="n">
        <v>9009</v>
      </c>
    </row>
    <row r="625">
      <c r="A625" t="inlineStr">
        <is>
          <t>Glucophage 500 MG</t>
        </is>
      </c>
      <c r="B625" t="inlineStr">
        <is>
          <t>Suez</t>
        </is>
      </c>
      <c r="C625" s="22" t="n">
        <v>45627</v>
      </c>
      <c r="D625" t="inlineStr">
        <is>
          <t>Mohamed Mahmoud</t>
        </is>
      </c>
      <c r="E625" t="n">
        <v>77</v>
      </c>
      <c r="F625" t="n">
        <v>2448</v>
      </c>
      <c r="G625" t="n">
        <v>2422</v>
      </c>
      <c r="H625" s="23" t="n">
        <v>188496</v>
      </c>
      <c r="I625" s="23" t="n">
        <v>186494</v>
      </c>
      <c r="J625" t="inlineStr">
        <is>
          <t>Dec</t>
        </is>
      </c>
      <c r="K625" t="n">
        <v>12</v>
      </c>
      <c r="L625" t="inlineStr">
        <is>
          <t>Q4</t>
        </is>
      </c>
      <c r="M625" t="n">
        <v>2024</v>
      </c>
      <c r="N625" s="22" t="n">
        <v>45627</v>
      </c>
      <c r="O625" s="24" t="n">
        <v>1.010734929810074</v>
      </c>
      <c r="P625" s="23" t="n">
        <v>2002</v>
      </c>
    </row>
    <row r="626">
      <c r="A626" t="inlineStr">
        <is>
          <t>Glucophage 500 MG</t>
        </is>
      </c>
      <c r="B626" t="inlineStr">
        <is>
          <t>Dakahlia 1</t>
        </is>
      </c>
      <c r="C626" s="22" t="n">
        <v>45292</v>
      </c>
      <c r="D626" t="inlineStr">
        <is>
          <t>Nour El-Din</t>
        </is>
      </c>
      <c r="E626" t="n">
        <v>77</v>
      </c>
      <c r="F626" t="n">
        <v>3563</v>
      </c>
      <c r="G626" t="n">
        <v>3505</v>
      </c>
      <c r="H626" s="23" t="n">
        <v>274351</v>
      </c>
      <c r="I626" s="23" t="n">
        <v>269885</v>
      </c>
      <c r="J626" t="inlineStr">
        <is>
          <t>Jan</t>
        </is>
      </c>
      <c r="K626" t="n">
        <v>1</v>
      </c>
      <c r="L626" t="inlineStr">
        <is>
          <t>Q1</t>
        </is>
      </c>
      <c r="M626" t="n">
        <v>2024</v>
      </c>
      <c r="N626" s="22" t="n">
        <v>45292</v>
      </c>
      <c r="O626" s="24" t="n">
        <v>1.016547788873039</v>
      </c>
      <c r="P626" s="23" t="n">
        <v>4466</v>
      </c>
    </row>
    <row r="627">
      <c r="A627" t="inlineStr">
        <is>
          <t>Glucophage 500 MG</t>
        </is>
      </c>
      <c r="B627" t="inlineStr">
        <is>
          <t>Dakahlia 1</t>
        </is>
      </c>
      <c r="C627" s="22" t="n">
        <v>45323</v>
      </c>
      <c r="D627" t="inlineStr">
        <is>
          <t>Nour El-Din</t>
        </is>
      </c>
      <c r="E627" t="n">
        <v>77</v>
      </c>
      <c r="F627" t="n">
        <v>3353</v>
      </c>
      <c r="G627" t="n">
        <v>3916</v>
      </c>
      <c r="H627" s="23" t="n">
        <v>258181</v>
      </c>
      <c r="I627" s="23" t="n">
        <v>301532</v>
      </c>
      <c r="J627" t="inlineStr">
        <is>
          <t>Feb</t>
        </is>
      </c>
      <c r="K627" t="n">
        <v>2</v>
      </c>
      <c r="L627" t="inlineStr">
        <is>
          <t>Q1</t>
        </is>
      </c>
      <c r="M627" t="n">
        <v>2024</v>
      </c>
      <c r="N627" s="22" t="n">
        <v>45323</v>
      </c>
      <c r="O627" s="24" t="n">
        <v>0.8562308478038815</v>
      </c>
      <c r="P627" s="23" t="n">
        <v>-43351</v>
      </c>
    </row>
    <row r="628">
      <c r="A628" t="inlineStr">
        <is>
          <t>Glucophage 500 MG</t>
        </is>
      </c>
      <c r="B628" t="inlineStr">
        <is>
          <t>Dakahlia 1</t>
        </is>
      </c>
      <c r="C628" s="22" t="n">
        <v>45352</v>
      </c>
      <c r="D628" t="inlineStr">
        <is>
          <t>Nour El-Din</t>
        </is>
      </c>
      <c r="E628" t="n">
        <v>77</v>
      </c>
      <c r="F628" t="n">
        <v>2245</v>
      </c>
      <c r="G628" t="n">
        <v>2190</v>
      </c>
      <c r="H628" s="23" t="n">
        <v>172865</v>
      </c>
      <c r="I628" s="23" t="n">
        <v>168630</v>
      </c>
      <c r="J628" t="inlineStr">
        <is>
          <t>Mar</t>
        </is>
      </c>
      <c r="K628" t="n">
        <v>3</v>
      </c>
      <c r="L628" t="inlineStr">
        <is>
          <t>Q1</t>
        </is>
      </c>
      <c r="M628" t="n">
        <v>2024</v>
      </c>
      <c r="N628" s="22" t="n">
        <v>45352</v>
      </c>
      <c r="O628" s="24" t="n">
        <v>1.025114155251142</v>
      </c>
      <c r="P628" s="23" t="n">
        <v>4235</v>
      </c>
    </row>
    <row r="629">
      <c r="A629" t="inlineStr">
        <is>
          <t>Glucophage 500 MG</t>
        </is>
      </c>
      <c r="B629" t="inlineStr">
        <is>
          <t>Dakahlia 1</t>
        </is>
      </c>
      <c r="C629" s="22" t="n">
        <v>45383</v>
      </c>
      <c r="D629" t="inlineStr">
        <is>
          <t>Nour El-Din</t>
        </is>
      </c>
      <c r="E629" t="n">
        <v>77</v>
      </c>
      <c r="F629" t="n">
        <v>3322</v>
      </c>
      <c r="G629" t="n">
        <v>3644</v>
      </c>
      <c r="H629" s="23" t="n">
        <v>255794</v>
      </c>
      <c r="I629" s="23" t="n">
        <v>280588</v>
      </c>
      <c r="J629" t="inlineStr">
        <is>
          <t>Apr</t>
        </is>
      </c>
      <c r="K629" t="n">
        <v>4</v>
      </c>
      <c r="L629" t="inlineStr">
        <is>
          <t>Q2</t>
        </is>
      </c>
      <c r="M629" t="n">
        <v>2024</v>
      </c>
      <c r="N629" s="22" t="n">
        <v>45383</v>
      </c>
      <c r="O629" s="24" t="n">
        <v>0.9116355653128431</v>
      </c>
      <c r="P629" s="23" t="n">
        <v>-24794</v>
      </c>
    </row>
    <row r="630">
      <c r="A630" t="inlineStr">
        <is>
          <t>Glucophage 500 MG</t>
        </is>
      </c>
      <c r="B630" t="inlineStr">
        <is>
          <t>Dakahlia 1</t>
        </is>
      </c>
      <c r="C630" s="22" t="n">
        <v>45413</v>
      </c>
      <c r="D630" t="inlineStr">
        <is>
          <t>Nour El-Din</t>
        </is>
      </c>
      <c r="E630" t="n">
        <v>77</v>
      </c>
      <c r="F630" t="n">
        <v>2930</v>
      </c>
      <c r="G630" t="n">
        <v>3097</v>
      </c>
      <c r="H630" s="23" t="n">
        <v>225610</v>
      </c>
      <c r="I630" s="23" t="n">
        <v>238469</v>
      </c>
      <c r="J630" t="inlineStr">
        <is>
          <t>May</t>
        </is>
      </c>
      <c r="K630" t="n">
        <v>5</v>
      </c>
      <c r="L630" t="inlineStr">
        <is>
          <t>Q2</t>
        </is>
      </c>
      <c r="M630" t="n">
        <v>2024</v>
      </c>
      <c r="N630" s="22" t="n">
        <v>45413</v>
      </c>
      <c r="O630" s="24" t="n">
        <v>0.9460768485631256</v>
      </c>
      <c r="P630" s="23" t="n">
        <v>-12859</v>
      </c>
    </row>
    <row r="631">
      <c r="A631" t="inlineStr">
        <is>
          <t>Glucophage 500 MG</t>
        </is>
      </c>
      <c r="B631" t="inlineStr">
        <is>
          <t>Dakahlia 1</t>
        </is>
      </c>
      <c r="C631" s="22" t="n">
        <v>45444</v>
      </c>
      <c r="D631" t="inlineStr">
        <is>
          <t>Nour El-Din</t>
        </is>
      </c>
      <c r="E631" t="n">
        <v>77</v>
      </c>
      <c r="F631" t="n">
        <v>2914</v>
      </c>
      <c r="G631" t="n">
        <v>2747</v>
      </c>
      <c r="H631" s="23" t="n">
        <v>224378</v>
      </c>
      <c r="I631" s="23" t="n">
        <v>211519</v>
      </c>
      <c r="J631" t="inlineStr">
        <is>
          <t>Jun</t>
        </is>
      </c>
      <c r="K631" t="n">
        <v>6</v>
      </c>
      <c r="L631" t="inlineStr">
        <is>
          <t>Q2</t>
        </is>
      </c>
      <c r="M631" t="n">
        <v>2024</v>
      </c>
      <c r="N631" s="22" t="n">
        <v>45444</v>
      </c>
      <c r="O631" s="24" t="n">
        <v>1.060793593010557</v>
      </c>
      <c r="P631" s="23" t="n">
        <v>12859</v>
      </c>
    </row>
    <row r="632">
      <c r="A632" t="inlineStr">
        <is>
          <t>Glucophage 500 MG</t>
        </is>
      </c>
      <c r="B632" t="inlineStr">
        <is>
          <t>Dakahlia 1</t>
        </is>
      </c>
      <c r="C632" s="22" t="n">
        <v>45474</v>
      </c>
      <c r="D632" t="inlineStr">
        <is>
          <t>Nour El-Din</t>
        </is>
      </c>
      <c r="E632" t="n">
        <v>77</v>
      </c>
      <c r="F632" t="n">
        <v>2860</v>
      </c>
      <c r="G632" t="n">
        <v>2955</v>
      </c>
      <c r="H632" s="23" t="n">
        <v>220220</v>
      </c>
      <c r="I632" s="23" t="n">
        <v>227535</v>
      </c>
      <c r="J632" t="inlineStr">
        <is>
          <t>Jul</t>
        </is>
      </c>
      <c r="K632" t="n">
        <v>7</v>
      </c>
      <c r="L632" t="inlineStr">
        <is>
          <t>Q3</t>
        </is>
      </c>
      <c r="M632" t="n">
        <v>2024</v>
      </c>
      <c r="N632" s="22" t="n">
        <v>45474</v>
      </c>
      <c r="O632" s="24" t="n">
        <v>0.9678510998307953</v>
      </c>
      <c r="P632" s="23" t="n">
        <v>-7315</v>
      </c>
    </row>
    <row r="633">
      <c r="A633" t="inlineStr">
        <is>
          <t>Glucophage 500 MG</t>
        </is>
      </c>
      <c r="B633" t="inlineStr">
        <is>
          <t>Dakahlia 1</t>
        </is>
      </c>
      <c r="C633" s="22" t="n">
        <v>45505</v>
      </c>
      <c r="D633" t="inlineStr">
        <is>
          <t>Nour El-Din</t>
        </is>
      </c>
      <c r="E633" t="n">
        <v>77</v>
      </c>
      <c r="F633" t="n">
        <v>3105</v>
      </c>
      <c r="G633" t="n">
        <v>3167</v>
      </c>
      <c r="H633" s="23" t="n">
        <v>239085</v>
      </c>
      <c r="I633" s="23" t="n">
        <v>243859</v>
      </c>
      <c r="J633" t="inlineStr">
        <is>
          <t>Aug</t>
        </is>
      </c>
      <c r="K633" t="n">
        <v>8</v>
      </c>
      <c r="L633" t="inlineStr">
        <is>
          <t>Q3</t>
        </is>
      </c>
      <c r="M633" t="n">
        <v>2024</v>
      </c>
      <c r="N633" s="22" t="n">
        <v>45505</v>
      </c>
      <c r="O633" s="24" t="n">
        <v>0.9804231133564888</v>
      </c>
      <c r="P633" s="23" t="n">
        <v>-4774</v>
      </c>
    </row>
    <row r="634">
      <c r="A634" t="inlineStr">
        <is>
          <t>Glucophage 500 MG</t>
        </is>
      </c>
      <c r="B634" t="inlineStr">
        <is>
          <t>Dakahlia 1</t>
        </is>
      </c>
      <c r="C634" s="22" t="n">
        <v>45536</v>
      </c>
      <c r="D634" t="inlineStr">
        <is>
          <t>Nour El-Din</t>
        </is>
      </c>
      <c r="E634" t="n">
        <v>77</v>
      </c>
      <c r="F634" t="n">
        <v>1945</v>
      </c>
      <c r="G634" t="n">
        <v>2214</v>
      </c>
      <c r="H634" s="23" t="n">
        <v>149765</v>
      </c>
      <c r="I634" s="23" t="n">
        <v>170478</v>
      </c>
      <c r="J634" t="inlineStr">
        <is>
          <t>Sep</t>
        </is>
      </c>
      <c r="K634" t="n">
        <v>9</v>
      </c>
      <c r="L634" t="inlineStr">
        <is>
          <t>Q3</t>
        </is>
      </c>
      <c r="M634" t="n">
        <v>2024</v>
      </c>
      <c r="N634" s="22" t="n">
        <v>45536</v>
      </c>
      <c r="O634" s="24" t="n">
        <v>0.8785004516711834</v>
      </c>
      <c r="P634" s="23" t="n">
        <v>-20713</v>
      </c>
    </row>
    <row r="635">
      <c r="A635" t="inlineStr">
        <is>
          <t>Glucophage 500 MG</t>
        </is>
      </c>
      <c r="B635" t="inlineStr">
        <is>
          <t>Dakahlia 1</t>
        </is>
      </c>
      <c r="C635" s="22" t="n">
        <v>45566</v>
      </c>
      <c r="D635" t="inlineStr">
        <is>
          <t>Nour El-Din</t>
        </is>
      </c>
      <c r="E635" t="n">
        <v>77</v>
      </c>
      <c r="F635" t="n">
        <v>2374</v>
      </c>
      <c r="G635" t="n">
        <v>2565</v>
      </c>
      <c r="H635" s="23" t="n">
        <v>182798</v>
      </c>
      <c r="I635" s="23" t="n">
        <v>197505</v>
      </c>
      <c r="J635" t="inlineStr">
        <is>
          <t>Oct</t>
        </is>
      </c>
      <c r="K635" t="n">
        <v>10</v>
      </c>
      <c r="L635" t="inlineStr">
        <is>
          <t>Q4</t>
        </is>
      </c>
      <c r="M635" t="n">
        <v>2024</v>
      </c>
      <c r="N635" s="22" t="n">
        <v>45566</v>
      </c>
      <c r="O635" s="24" t="n">
        <v>0.9255360623781677</v>
      </c>
      <c r="P635" s="23" t="n">
        <v>-14707</v>
      </c>
    </row>
    <row r="636">
      <c r="A636" t="inlineStr">
        <is>
          <t>Glucophage 500 MG</t>
        </is>
      </c>
      <c r="B636" t="inlineStr">
        <is>
          <t>Dakahlia 1</t>
        </is>
      </c>
      <c r="C636" s="22" t="n">
        <v>45597</v>
      </c>
      <c r="D636" t="inlineStr">
        <is>
          <t>Nour El-Din</t>
        </is>
      </c>
      <c r="E636" t="n">
        <v>77</v>
      </c>
      <c r="F636" t="n">
        <v>1926</v>
      </c>
      <c r="G636" t="n">
        <v>2236</v>
      </c>
      <c r="H636" s="23" t="n">
        <v>148302</v>
      </c>
      <c r="I636" s="23" t="n">
        <v>172172</v>
      </c>
      <c r="J636" t="inlineStr">
        <is>
          <t>Nov</t>
        </is>
      </c>
      <c r="K636" t="n">
        <v>11</v>
      </c>
      <c r="L636" t="inlineStr">
        <is>
          <t>Q4</t>
        </is>
      </c>
      <c r="M636" t="n">
        <v>2024</v>
      </c>
      <c r="N636" s="22" t="n">
        <v>45597</v>
      </c>
      <c r="O636" s="24" t="n">
        <v>0.8613595706618963</v>
      </c>
      <c r="P636" s="23" t="n">
        <v>-23870</v>
      </c>
    </row>
    <row r="637">
      <c r="A637" t="inlineStr">
        <is>
          <t>Glucophage 500 MG</t>
        </is>
      </c>
      <c r="B637" t="inlineStr">
        <is>
          <t>Dakahlia 1</t>
        </is>
      </c>
      <c r="C637" s="22" t="n">
        <v>45627</v>
      </c>
      <c r="D637" t="inlineStr">
        <is>
          <t>Nour El-Din</t>
        </is>
      </c>
      <c r="E637" t="n">
        <v>77</v>
      </c>
      <c r="F637" t="n">
        <v>3059</v>
      </c>
      <c r="G637" t="n">
        <v>3455</v>
      </c>
      <c r="H637" s="23" t="n">
        <v>235543</v>
      </c>
      <c r="I637" s="23" t="n">
        <v>266035</v>
      </c>
      <c r="J637" t="inlineStr">
        <is>
          <t>Dec</t>
        </is>
      </c>
      <c r="K637" t="n">
        <v>12</v>
      </c>
      <c r="L637" t="inlineStr">
        <is>
          <t>Q4</t>
        </is>
      </c>
      <c r="M637" t="n">
        <v>2024</v>
      </c>
      <c r="N637" s="22" t="n">
        <v>45627</v>
      </c>
      <c r="O637" s="24" t="n">
        <v>0.885383502170767</v>
      </c>
      <c r="P637" s="23" t="n">
        <v>-30492</v>
      </c>
    </row>
    <row r="638">
      <c r="A638" t="inlineStr">
        <is>
          <t>Glucophage 500 MG</t>
        </is>
      </c>
      <c r="B638" t="inlineStr">
        <is>
          <t>Dakahlia 2</t>
        </is>
      </c>
      <c r="C638" s="22" t="n">
        <v>45292</v>
      </c>
      <c r="D638" t="inlineStr">
        <is>
          <t>Omar Khaled</t>
        </is>
      </c>
      <c r="E638" t="n">
        <v>77</v>
      </c>
      <c r="F638" t="n">
        <v>2853</v>
      </c>
      <c r="G638" t="n">
        <v>2916</v>
      </c>
      <c r="H638" s="23" t="n">
        <v>219681</v>
      </c>
      <c r="I638" s="23" t="n">
        <v>224532</v>
      </c>
      <c r="J638" t="inlineStr">
        <is>
          <t>Jan</t>
        </is>
      </c>
      <c r="K638" t="n">
        <v>1</v>
      </c>
      <c r="L638" t="inlineStr">
        <is>
          <t>Q1</t>
        </is>
      </c>
      <c r="M638" t="n">
        <v>2024</v>
      </c>
      <c r="N638" s="22" t="n">
        <v>45292</v>
      </c>
      <c r="O638" s="24" t="n">
        <v>0.9783950617283951</v>
      </c>
      <c r="P638" s="23" t="n">
        <v>-4851</v>
      </c>
    </row>
    <row r="639">
      <c r="A639" t="inlineStr">
        <is>
          <t>Glucophage 500 MG</t>
        </is>
      </c>
      <c r="B639" t="inlineStr">
        <is>
          <t>Dakahlia 2</t>
        </is>
      </c>
      <c r="C639" s="22" t="n">
        <v>45323</v>
      </c>
      <c r="D639" t="inlineStr">
        <is>
          <t>Omar Khaled</t>
        </is>
      </c>
      <c r="E639" t="n">
        <v>77</v>
      </c>
      <c r="F639" t="n">
        <v>2195</v>
      </c>
      <c r="G639" t="n">
        <v>2545</v>
      </c>
      <c r="H639" s="23" t="n">
        <v>169015</v>
      </c>
      <c r="I639" s="23" t="n">
        <v>195965</v>
      </c>
      <c r="J639" t="inlineStr">
        <is>
          <t>Feb</t>
        </is>
      </c>
      <c r="K639" t="n">
        <v>2</v>
      </c>
      <c r="L639" t="inlineStr">
        <is>
          <t>Q1</t>
        </is>
      </c>
      <c r="M639" t="n">
        <v>2024</v>
      </c>
      <c r="N639" s="22" t="n">
        <v>45323</v>
      </c>
      <c r="O639" s="24" t="n">
        <v>0.862475442043222</v>
      </c>
      <c r="P639" s="23" t="n">
        <v>-26950</v>
      </c>
    </row>
    <row r="640">
      <c r="A640" t="inlineStr">
        <is>
          <t>Glucophage 500 MG</t>
        </is>
      </c>
      <c r="B640" t="inlineStr">
        <is>
          <t>Dakahlia 2</t>
        </is>
      </c>
      <c r="C640" s="22" t="n">
        <v>45352</v>
      </c>
      <c r="D640" t="inlineStr">
        <is>
          <t>Omar Khaled</t>
        </is>
      </c>
      <c r="E640" t="n">
        <v>77</v>
      </c>
      <c r="F640" t="n">
        <v>1977</v>
      </c>
      <c r="G640" t="n">
        <v>2084</v>
      </c>
      <c r="H640" s="23" t="n">
        <v>152229</v>
      </c>
      <c r="I640" s="23" t="n">
        <v>160468</v>
      </c>
      <c r="J640" t="inlineStr">
        <is>
          <t>Mar</t>
        </is>
      </c>
      <c r="K640" t="n">
        <v>3</v>
      </c>
      <c r="L640" t="inlineStr">
        <is>
          <t>Q1</t>
        </is>
      </c>
      <c r="M640" t="n">
        <v>2024</v>
      </c>
      <c r="N640" s="22" t="n">
        <v>45352</v>
      </c>
      <c r="O640" s="24" t="n">
        <v>0.9486564299424184</v>
      </c>
      <c r="P640" s="23" t="n">
        <v>-8239</v>
      </c>
    </row>
    <row r="641">
      <c r="A641" t="inlineStr">
        <is>
          <t>Glucophage 500 MG</t>
        </is>
      </c>
      <c r="B641" t="inlineStr">
        <is>
          <t>Dakahlia 2</t>
        </is>
      </c>
      <c r="C641" s="22" t="n">
        <v>45383</v>
      </c>
      <c r="D641" t="inlineStr">
        <is>
          <t>Omar Khaled</t>
        </is>
      </c>
      <c r="E641" t="n">
        <v>77</v>
      </c>
      <c r="F641" t="n">
        <v>2643</v>
      </c>
      <c r="G641" t="n">
        <v>2445</v>
      </c>
      <c r="H641" s="23" t="n">
        <v>203511</v>
      </c>
      <c r="I641" s="23" t="n">
        <v>188265</v>
      </c>
      <c r="J641" t="inlineStr">
        <is>
          <t>Apr</t>
        </is>
      </c>
      <c r="K641" t="n">
        <v>4</v>
      </c>
      <c r="L641" t="inlineStr">
        <is>
          <t>Q2</t>
        </is>
      </c>
      <c r="M641" t="n">
        <v>2024</v>
      </c>
      <c r="N641" s="22" t="n">
        <v>45383</v>
      </c>
      <c r="O641" s="24" t="n">
        <v>1.080981595092025</v>
      </c>
      <c r="P641" s="23" t="n">
        <v>15246</v>
      </c>
    </row>
    <row r="642">
      <c r="A642" t="inlineStr">
        <is>
          <t>Glucophage 500 MG</t>
        </is>
      </c>
      <c r="B642" t="inlineStr">
        <is>
          <t>Dakahlia 2</t>
        </is>
      </c>
      <c r="C642" s="22" t="n">
        <v>45413</v>
      </c>
      <c r="D642" t="inlineStr">
        <is>
          <t>Omar Khaled</t>
        </is>
      </c>
      <c r="E642" t="n">
        <v>77</v>
      </c>
      <c r="F642" t="n">
        <v>2337</v>
      </c>
      <c r="G642" t="n">
        <v>2693</v>
      </c>
      <c r="H642" s="23" t="n">
        <v>179949</v>
      </c>
      <c r="I642" s="23" t="n">
        <v>207361</v>
      </c>
      <c r="J642" t="inlineStr">
        <is>
          <t>May</t>
        </is>
      </c>
      <c r="K642" t="n">
        <v>5</v>
      </c>
      <c r="L642" t="inlineStr">
        <is>
          <t>Q2</t>
        </is>
      </c>
      <c r="M642" t="n">
        <v>2024</v>
      </c>
      <c r="N642" s="22" t="n">
        <v>45413</v>
      </c>
      <c r="O642" s="24" t="n">
        <v>0.8678054214630524</v>
      </c>
      <c r="P642" s="23" t="n">
        <v>-27412</v>
      </c>
    </row>
    <row r="643">
      <c r="A643" t="inlineStr">
        <is>
          <t>Glucophage 500 MG</t>
        </is>
      </c>
      <c r="B643" t="inlineStr">
        <is>
          <t>Dakahlia 2</t>
        </is>
      </c>
      <c r="C643" s="22" t="n">
        <v>45444</v>
      </c>
      <c r="D643" t="inlineStr">
        <is>
          <t>Omar Khaled</t>
        </is>
      </c>
      <c r="E643" t="n">
        <v>77</v>
      </c>
      <c r="F643" t="n">
        <v>2301</v>
      </c>
      <c r="G643" t="n">
        <v>2236</v>
      </c>
      <c r="H643" s="23" t="n">
        <v>177177</v>
      </c>
      <c r="I643" s="23" t="n">
        <v>172172</v>
      </c>
      <c r="J643" t="inlineStr">
        <is>
          <t>Jun</t>
        </is>
      </c>
      <c r="K643" t="n">
        <v>6</v>
      </c>
      <c r="L643" t="inlineStr">
        <is>
          <t>Q2</t>
        </is>
      </c>
      <c r="M643" t="n">
        <v>2024</v>
      </c>
      <c r="N643" s="22" t="n">
        <v>45444</v>
      </c>
      <c r="O643" s="24" t="n">
        <v>1.029069767441861</v>
      </c>
      <c r="P643" s="23" t="n">
        <v>5005</v>
      </c>
    </row>
    <row r="644">
      <c r="A644" t="inlineStr">
        <is>
          <t>Glucophage 500 MG</t>
        </is>
      </c>
      <c r="B644" t="inlineStr">
        <is>
          <t>Dakahlia 2</t>
        </is>
      </c>
      <c r="C644" s="22" t="n">
        <v>45474</v>
      </c>
      <c r="D644" t="inlineStr">
        <is>
          <t>Omar Khaled</t>
        </is>
      </c>
      <c r="E644" t="n">
        <v>77</v>
      </c>
      <c r="F644" t="n">
        <v>2321</v>
      </c>
      <c r="G644" t="n">
        <v>2702</v>
      </c>
      <c r="H644" s="23" t="n">
        <v>178717</v>
      </c>
      <c r="I644" s="23" t="n">
        <v>208054</v>
      </c>
      <c r="J644" t="inlineStr">
        <is>
          <t>Jul</t>
        </is>
      </c>
      <c r="K644" t="n">
        <v>7</v>
      </c>
      <c r="L644" t="inlineStr">
        <is>
          <t>Q3</t>
        </is>
      </c>
      <c r="M644" t="n">
        <v>2024</v>
      </c>
      <c r="N644" s="22" t="n">
        <v>45474</v>
      </c>
      <c r="O644" s="24" t="n">
        <v>0.8589933382679497</v>
      </c>
      <c r="P644" s="23" t="n">
        <v>-29337</v>
      </c>
    </row>
    <row r="645">
      <c r="A645" t="inlineStr">
        <is>
          <t>Glucophage 500 MG</t>
        </is>
      </c>
      <c r="B645" t="inlineStr">
        <is>
          <t>Dakahlia 2</t>
        </is>
      </c>
      <c r="C645" s="22" t="n">
        <v>45505</v>
      </c>
      <c r="D645" t="inlineStr">
        <is>
          <t>Omar Khaled</t>
        </is>
      </c>
      <c r="E645" t="n">
        <v>77</v>
      </c>
      <c r="F645" t="n">
        <v>2627</v>
      </c>
      <c r="G645" t="n">
        <v>2423</v>
      </c>
      <c r="H645" s="23" t="n">
        <v>202279</v>
      </c>
      <c r="I645" s="23" t="n">
        <v>186571</v>
      </c>
      <c r="J645" t="inlineStr">
        <is>
          <t>Aug</t>
        </is>
      </c>
      <c r="K645" t="n">
        <v>8</v>
      </c>
      <c r="L645" t="inlineStr">
        <is>
          <t>Q3</t>
        </is>
      </c>
      <c r="M645" t="n">
        <v>2024</v>
      </c>
      <c r="N645" s="22" t="n">
        <v>45505</v>
      </c>
      <c r="O645" s="24" t="n">
        <v>1.084193148988857</v>
      </c>
      <c r="P645" s="23" t="n">
        <v>15708</v>
      </c>
    </row>
    <row r="646">
      <c r="A646" t="inlineStr">
        <is>
          <t>Glucophage 500 MG</t>
        </is>
      </c>
      <c r="B646" t="inlineStr">
        <is>
          <t>Dakahlia 2</t>
        </is>
      </c>
      <c r="C646" s="22" t="n">
        <v>45536</v>
      </c>
      <c r="D646" t="inlineStr">
        <is>
          <t>Omar Khaled</t>
        </is>
      </c>
      <c r="E646" t="n">
        <v>77</v>
      </c>
      <c r="F646" t="n">
        <v>3267</v>
      </c>
      <c r="G646" t="n">
        <v>3738</v>
      </c>
      <c r="H646" s="23" t="n">
        <v>251559</v>
      </c>
      <c r="I646" s="23" t="n">
        <v>287826</v>
      </c>
      <c r="J646" t="inlineStr">
        <is>
          <t>Sep</t>
        </is>
      </c>
      <c r="K646" t="n">
        <v>9</v>
      </c>
      <c r="L646" t="inlineStr">
        <is>
          <t>Q3</t>
        </is>
      </c>
      <c r="M646" t="n">
        <v>2024</v>
      </c>
      <c r="N646" s="22" t="n">
        <v>45536</v>
      </c>
      <c r="O646" s="24" t="n">
        <v>0.8739967897271268</v>
      </c>
      <c r="P646" s="23" t="n">
        <v>-36267</v>
      </c>
    </row>
    <row r="647">
      <c r="A647" t="inlineStr">
        <is>
          <t>Glucophage 500 MG</t>
        </is>
      </c>
      <c r="B647" t="inlineStr">
        <is>
          <t>Dakahlia 2</t>
        </is>
      </c>
      <c r="C647" s="22" t="n">
        <v>45566</v>
      </c>
      <c r="D647" t="inlineStr">
        <is>
          <t>Omar Khaled</t>
        </is>
      </c>
      <c r="E647" t="n">
        <v>77</v>
      </c>
      <c r="F647" t="n">
        <v>3088</v>
      </c>
      <c r="G647" t="n">
        <v>3545</v>
      </c>
      <c r="H647" s="23" t="n">
        <v>237776</v>
      </c>
      <c r="I647" s="23" t="n">
        <v>272965</v>
      </c>
      <c r="J647" t="inlineStr">
        <is>
          <t>Oct</t>
        </is>
      </c>
      <c r="K647" t="n">
        <v>10</v>
      </c>
      <c r="L647" t="inlineStr">
        <is>
          <t>Q4</t>
        </is>
      </c>
      <c r="M647" t="n">
        <v>2024</v>
      </c>
      <c r="N647" s="22" t="n">
        <v>45566</v>
      </c>
      <c r="O647" s="24" t="n">
        <v>0.8710860366713681</v>
      </c>
      <c r="P647" s="23" t="n">
        <v>-35189</v>
      </c>
    </row>
    <row r="648">
      <c r="A648" t="inlineStr">
        <is>
          <t>Glucophage 500 MG</t>
        </is>
      </c>
      <c r="B648" t="inlineStr">
        <is>
          <t>Dakahlia 2</t>
        </is>
      </c>
      <c r="C648" s="22" t="n">
        <v>45597</v>
      </c>
      <c r="D648" t="inlineStr">
        <is>
          <t>Omar Khaled</t>
        </is>
      </c>
      <c r="E648" t="n">
        <v>77</v>
      </c>
      <c r="F648" t="n">
        <v>3263</v>
      </c>
      <c r="G648" t="n">
        <v>3185</v>
      </c>
      <c r="H648" s="23" t="n">
        <v>251251</v>
      </c>
      <c r="I648" s="23" t="n">
        <v>245245</v>
      </c>
      <c r="J648" t="inlineStr">
        <is>
          <t>Nov</t>
        </is>
      </c>
      <c r="K648" t="n">
        <v>11</v>
      </c>
      <c r="L648" t="inlineStr">
        <is>
          <t>Q4</t>
        </is>
      </c>
      <c r="M648" t="n">
        <v>2024</v>
      </c>
      <c r="N648" s="22" t="n">
        <v>45597</v>
      </c>
      <c r="O648" s="24" t="n">
        <v>1.024489795918367</v>
      </c>
      <c r="P648" s="23" t="n">
        <v>6006</v>
      </c>
    </row>
    <row r="649">
      <c r="A649" t="inlineStr">
        <is>
          <t>Glucophage 500 MG</t>
        </is>
      </c>
      <c r="B649" t="inlineStr">
        <is>
          <t>Dakahlia 2</t>
        </is>
      </c>
      <c r="C649" s="22" t="n">
        <v>45627</v>
      </c>
      <c r="D649" t="inlineStr">
        <is>
          <t>Omar Khaled</t>
        </is>
      </c>
      <c r="E649" t="n">
        <v>77</v>
      </c>
      <c r="F649" t="n">
        <v>3292</v>
      </c>
      <c r="G649" t="n">
        <v>3435</v>
      </c>
      <c r="H649" s="23" t="n">
        <v>253484</v>
      </c>
      <c r="I649" s="23" t="n">
        <v>264495</v>
      </c>
      <c r="J649" t="inlineStr">
        <is>
          <t>Dec</t>
        </is>
      </c>
      <c r="K649" t="n">
        <v>12</v>
      </c>
      <c r="L649" t="inlineStr">
        <is>
          <t>Q4</t>
        </is>
      </c>
      <c r="M649" t="n">
        <v>2024</v>
      </c>
      <c r="N649" s="22" t="n">
        <v>45627</v>
      </c>
      <c r="O649" s="24" t="n">
        <v>0.9583697234352256</v>
      </c>
      <c r="P649" s="23" t="n">
        <v>-11011</v>
      </c>
    </row>
    <row r="650">
      <c r="A650" t="inlineStr">
        <is>
          <t>Glucophage 500 MG</t>
        </is>
      </c>
      <c r="B650" t="inlineStr">
        <is>
          <t>Sharqia 1</t>
        </is>
      </c>
      <c r="C650" s="22" t="n">
        <v>45292</v>
      </c>
      <c r="D650" t="inlineStr">
        <is>
          <t>Sara Ibrahim</t>
        </is>
      </c>
      <c r="E650" t="n">
        <v>77</v>
      </c>
      <c r="F650" t="n">
        <v>2974</v>
      </c>
      <c r="G650" t="n">
        <v>2716</v>
      </c>
      <c r="H650" s="23" t="n">
        <v>228998</v>
      </c>
      <c r="I650" s="23" t="n">
        <v>209132</v>
      </c>
      <c r="J650" t="inlineStr">
        <is>
          <t>Jan</t>
        </is>
      </c>
      <c r="K650" t="n">
        <v>1</v>
      </c>
      <c r="L650" t="inlineStr">
        <is>
          <t>Q1</t>
        </is>
      </c>
      <c r="M650" t="n">
        <v>2024</v>
      </c>
      <c r="N650" s="22" t="n">
        <v>45292</v>
      </c>
      <c r="O650" s="24" t="n">
        <v>1.09499263622975</v>
      </c>
      <c r="P650" s="23" t="n">
        <v>19866</v>
      </c>
    </row>
    <row r="651">
      <c r="A651" t="inlineStr">
        <is>
          <t>Glucophage 500 MG</t>
        </is>
      </c>
      <c r="B651" t="inlineStr">
        <is>
          <t>Sharqia 1</t>
        </is>
      </c>
      <c r="C651" s="22" t="n">
        <v>45323</v>
      </c>
      <c r="D651" t="inlineStr">
        <is>
          <t>Sara Ibrahim</t>
        </is>
      </c>
      <c r="E651" t="n">
        <v>77</v>
      </c>
      <c r="F651" t="n">
        <v>3713</v>
      </c>
      <c r="G651" t="n">
        <v>3550</v>
      </c>
      <c r="H651" s="23" t="n">
        <v>285901</v>
      </c>
      <c r="I651" s="23" t="n">
        <v>273350</v>
      </c>
      <c r="J651" t="inlineStr">
        <is>
          <t>Feb</t>
        </is>
      </c>
      <c r="K651" t="n">
        <v>2</v>
      </c>
      <c r="L651" t="inlineStr">
        <is>
          <t>Q1</t>
        </is>
      </c>
      <c r="M651" t="n">
        <v>2024</v>
      </c>
      <c r="N651" s="22" t="n">
        <v>45323</v>
      </c>
      <c r="O651" s="24" t="n">
        <v>1.045915492957747</v>
      </c>
      <c r="P651" s="23" t="n">
        <v>12551</v>
      </c>
    </row>
    <row r="652">
      <c r="A652" t="inlineStr">
        <is>
          <t>Glucophage 500 MG</t>
        </is>
      </c>
      <c r="B652" t="inlineStr">
        <is>
          <t>Sharqia 1</t>
        </is>
      </c>
      <c r="C652" s="22" t="n">
        <v>45352</v>
      </c>
      <c r="D652" t="inlineStr">
        <is>
          <t>Sara Ibrahim</t>
        </is>
      </c>
      <c r="E652" t="n">
        <v>77</v>
      </c>
      <c r="F652" t="n">
        <v>3758</v>
      </c>
      <c r="G652" t="n">
        <v>3564</v>
      </c>
      <c r="H652" s="23" t="n">
        <v>289366</v>
      </c>
      <c r="I652" s="23" t="n">
        <v>274428</v>
      </c>
      <c r="J652" t="inlineStr">
        <is>
          <t>Mar</t>
        </is>
      </c>
      <c r="K652" t="n">
        <v>3</v>
      </c>
      <c r="L652" t="inlineStr">
        <is>
          <t>Q1</t>
        </is>
      </c>
      <c r="M652" t="n">
        <v>2024</v>
      </c>
      <c r="N652" s="22" t="n">
        <v>45352</v>
      </c>
      <c r="O652" s="24" t="n">
        <v>1.054433221099888</v>
      </c>
      <c r="P652" s="23" t="n">
        <v>14938</v>
      </c>
    </row>
    <row r="653">
      <c r="A653" t="inlineStr">
        <is>
          <t>Glucophage 500 MG</t>
        </is>
      </c>
      <c r="B653" t="inlineStr">
        <is>
          <t>Sharqia 1</t>
        </is>
      </c>
      <c r="C653" s="22" t="n">
        <v>45383</v>
      </c>
      <c r="D653" t="inlineStr">
        <is>
          <t>Sara Ibrahim</t>
        </is>
      </c>
      <c r="E653" t="n">
        <v>77</v>
      </c>
      <c r="F653" t="n">
        <v>2199</v>
      </c>
      <c r="G653" t="n">
        <v>2465</v>
      </c>
      <c r="H653" s="23" t="n">
        <v>169323</v>
      </c>
      <c r="I653" s="23" t="n">
        <v>189805</v>
      </c>
      <c r="J653" t="inlineStr">
        <is>
          <t>Apr</t>
        </is>
      </c>
      <c r="K653" t="n">
        <v>4</v>
      </c>
      <c r="L653" t="inlineStr">
        <is>
          <t>Q2</t>
        </is>
      </c>
      <c r="M653" t="n">
        <v>2024</v>
      </c>
      <c r="N653" s="22" t="n">
        <v>45383</v>
      </c>
      <c r="O653" s="24" t="n">
        <v>0.8920892494929006</v>
      </c>
      <c r="P653" s="23" t="n">
        <v>-20482</v>
      </c>
    </row>
    <row r="654">
      <c r="A654" t="inlineStr">
        <is>
          <t>Glucophage 500 MG</t>
        </is>
      </c>
      <c r="B654" t="inlineStr">
        <is>
          <t>Sharqia 1</t>
        </is>
      </c>
      <c r="C654" s="22" t="n">
        <v>45413</v>
      </c>
      <c r="D654" t="inlineStr">
        <is>
          <t>Sara Ibrahim</t>
        </is>
      </c>
      <c r="E654" t="n">
        <v>77</v>
      </c>
      <c r="F654" t="n">
        <v>2892</v>
      </c>
      <c r="G654" t="n">
        <v>2920</v>
      </c>
      <c r="H654" s="23" t="n">
        <v>222684</v>
      </c>
      <c r="I654" s="23" t="n">
        <v>224840</v>
      </c>
      <c r="J654" t="inlineStr">
        <is>
          <t>May</t>
        </is>
      </c>
      <c r="K654" t="n">
        <v>5</v>
      </c>
      <c r="L654" t="inlineStr">
        <is>
          <t>Q2</t>
        </is>
      </c>
      <c r="M654" t="n">
        <v>2024</v>
      </c>
      <c r="N654" s="22" t="n">
        <v>45413</v>
      </c>
      <c r="O654" s="24" t="n">
        <v>0.9904109589041096</v>
      </c>
      <c r="P654" s="23" t="n">
        <v>-2156</v>
      </c>
    </row>
    <row r="655">
      <c r="A655" t="inlineStr">
        <is>
          <t>Glucophage 500 MG</t>
        </is>
      </c>
      <c r="B655" t="inlineStr">
        <is>
          <t>Sharqia 1</t>
        </is>
      </c>
      <c r="C655" s="22" t="n">
        <v>45444</v>
      </c>
      <c r="D655" t="inlineStr">
        <is>
          <t>Sara Ibrahim</t>
        </is>
      </c>
      <c r="E655" t="n">
        <v>77</v>
      </c>
      <c r="F655" t="n">
        <v>2704</v>
      </c>
      <c r="G655" t="n">
        <v>2802</v>
      </c>
      <c r="H655" s="23" t="n">
        <v>208208</v>
      </c>
      <c r="I655" s="23" t="n">
        <v>215754</v>
      </c>
      <c r="J655" t="inlineStr">
        <is>
          <t>Jun</t>
        </is>
      </c>
      <c r="K655" t="n">
        <v>6</v>
      </c>
      <c r="L655" t="inlineStr">
        <is>
          <t>Q2</t>
        </is>
      </c>
      <c r="M655" t="n">
        <v>2024</v>
      </c>
      <c r="N655" s="22" t="n">
        <v>45444</v>
      </c>
      <c r="O655" s="24" t="n">
        <v>0.9650249821556032</v>
      </c>
      <c r="P655" s="23" t="n">
        <v>-7546</v>
      </c>
    </row>
    <row r="656">
      <c r="A656" t="inlineStr">
        <is>
          <t>Glucophage 500 MG</t>
        </is>
      </c>
      <c r="B656" t="inlineStr">
        <is>
          <t>Sharqia 1</t>
        </is>
      </c>
      <c r="C656" s="22" t="n">
        <v>45474</v>
      </c>
      <c r="D656" t="inlineStr">
        <is>
          <t>Sara Ibrahim</t>
        </is>
      </c>
      <c r="E656" t="n">
        <v>77</v>
      </c>
      <c r="F656" t="n">
        <v>2199</v>
      </c>
      <c r="G656" t="n">
        <v>2102</v>
      </c>
      <c r="H656" s="23" t="n">
        <v>169323</v>
      </c>
      <c r="I656" s="23" t="n">
        <v>161854</v>
      </c>
      <c r="J656" t="inlineStr">
        <is>
          <t>Jul</t>
        </is>
      </c>
      <c r="K656" t="n">
        <v>7</v>
      </c>
      <c r="L656" t="inlineStr">
        <is>
          <t>Q3</t>
        </is>
      </c>
      <c r="M656" t="n">
        <v>2024</v>
      </c>
      <c r="N656" s="22" t="n">
        <v>45474</v>
      </c>
      <c r="O656" s="24" t="n">
        <v>1.046146527117031</v>
      </c>
      <c r="P656" s="23" t="n">
        <v>7469</v>
      </c>
    </row>
    <row r="657">
      <c r="A657" t="inlineStr">
        <is>
          <t>Glucophage 500 MG</t>
        </is>
      </c>
      <c r="B657" t="inlineStr">
        <is>
          <t>Sharqia 1</t>
        </is>
      </c>
      <c r="C657" s="22" t="n">
        <v>45505</v>
      </c>
      <c r="D657" t="inlineStr">
        <is>
          <t>Sara Ibrahim</t>
        </is>
      </c>
      <c r="E657" t="n">
        <v>77</v>
      </c>
      <c r="F657" t="n">
        <v>3718</v>
      </c>
      <c r="G657" t="n">
        <v>3820</v>
      </c>
      <c r="H657" s="23" t="n">
        <v>286286</v>
      </c>
      <c r="I657" s="23" t="n">
        <v>294140</v>
      </c>
      <c r="J657" t="inlineStr">
        <is>
          <t>Aug</t>
        </is>
      </c>
      <c r="K657" t="n">
        <v>8</v>
      </c>
      <c r="L657" t="inlineStr">
        <is>
          <t>Q3</t>
        </is>
      </c>
      <c r="M657" t="n">
        <v>2024</v>
      </c>
      <c r="N657" s="22" t="n">
        <v>45505</v>
      </c>
      <c r="O657" s="24" t="n">
        <v>0.9732984293193717</v>
      </c>
      <c r="P657" s="23" t="n">
        <v>-7854</v>
      </c>
    </row>
    <row r="658">
      <c r="A658" t="inlineStr">
        <is>
          <t>Glucophage 500 MG</t>
        </is>
      </c>
      <c r="B658" t="inlineStr">
        <is>
          <t>Sharqia 1</t>
        </is>
      </c>
      <c r="C658" s="22" t="n">
        <v>45536</v>
      </c>
      <c r="D658" t="inlineStr">
        <is>
          <t>Sara Ibrahim</t>
        </is>
      </c>
      <c r="E658" t="n">
        <v>77</v>
      </c>
      <c r="F658" t="n">
        <v>3340</v>
      </c>
      <c r="G658" t="n">
        <v>3060</v>
      </c>
      <c r="H658" s="23" t="n">
        <v>257180</v>
      </c>
      <c r="I658" s="23" t="n">
        <v>235620</v>
      </c>
      <c r="J658" t="inlineStr">
        <is>
          <t>Sep</t>
        </is>
      </c>
      <c r="K658" t="n">
        <v>9</v>
      </c>
      <c r="L658" t="inlineStr">
        <is>
          <t>Q3</t>
        </is>
      </c>
      <c r="M658" t="n">
        <v>2024</v>
      </c>
      <c r="N658" s="22" t="n">
        <v>45536</v>
      </c>
      <c r="O658" s="24" t="n">
        <v>1.091503267973856</v>
      </c>
      <c r="P658" s="23" t="n">
        <v>21560</v>
      </c>
    </row>
    <row r="659">
      <c r="A659" t="inlineStr">
        <is>
          <t>Glucophage 500 MG</t>
        </is>
      </c>
      <c r="B659" t="inlineStr">
        <is>
          <t>Sharqia 1</t>
        </is>
      </c>
      <c r="C659" s="22" t="n">
        <v>45566</v>
      </c>
      <c r="D659" t="inlineStr">
        <is>
          <t>Sara Ibrahim</t>
        </is>
      </c>
      <c r="E659" t="n">
        <v>77</v>
      </c>
      <c r="F659" t="n">
        <v>2083</v>
      </c>
      <c r="G659" t="n">
        <v>2099</v>
      </c>
      <c r="H659" s="23" t="n">
        <v>160391</v>
      </c>
      <c r="I659" s="23" t="n">
        <v>161623</v>
      </c>
      <c r="J659" t="inlineStr">
        <is>
          <t>Oct</t>
        </is>
      </c>
      <c r="K659" t="n">
        <v>10</v>
      </c>
      <c r="L659" t="inlineStr">
        <is>
          <t>Q4</t>
        </is>
      </c>
      <c r="M659" t="n">
        <v>2024</v>
      </c>
      <c r="N659" s="22" t="n">
        <v>45566</v>
      </c>
      <c r="O659" s="24" t="n">
        <v>0.9923773225345403</v>
      </c>
      <c r="P659" s="23" t="n">
        <v>-1232</v>
      </c>
    </row>
    <row r="660">
      <c r="A660" t="inlineStr">
        <is>
          <t>Glucophage 500 MG</t>
        </is>
      </c>
      <c r="B660" t="inlineStr">
        <is>
          <t>Sharqia 1</t>
        </is>
      </c>
      <c r="C660" s="22" t="n">
        <v>45597</v>
      </c>
      <c r="D660" t="inlineStr">
        <is>
          <t>Sara Ibrahim</t>
        </is>
      </c>
      <c r="E660" t="n">
        <v>77</v>
      </c>
      <c r="F660" t="n">
        <v>2839</v>
      </c>
      <c r="G660" t="n">
        <v>2817</v>
      </c>
      <c r="H660" s="23" t="n">
        <v>218603</v>
      </c>
      <c r="I660" s="23" t="n">
        <v>216909</v>
      </c>
      <c r="J660" t="inlineStr">
        <is>
          <t>Nov</t>
        </is>
      </c>
      <c r="K660" t="n">
        <v>11</v>
      </c>
      <c r="L660" t="inlineStr">
        <is>
          <t>Q4</t>
        </is>
      </c>
      <c r="M660" t="n">
        <v>2024</v>
      </c>
      <c r="N660" s="22" t="n">
        <v>45597</v>
      </c>
      <c r="O660" s="24" t="n">
        <v>1.007809726659567</v>
      </c>
      <c r="P660" s="23" t="n">
        <v>1694</v>
      </c>
    </row>
    <row r="661">
      <c r="A661" t="inlineStr">
        <is>
          <t>Glucophage 500 MG</t>
        </is>
      </c>
      <c r="B661" t="inlineStr">
        <is>
          <t>Sharqia 1</t>
        </is>
      </c>
      <c r="C661" s="22" t="n">
        <v>45627</v>
      </c>
      <c r="D661" t="inlineStr">
        <is>
          <t>Sara Ibrahim</t>
        </is>
      </c>
      <c r="E661" t="n">
        <v>77</v>
      </c>
      <c r="F661" t="n">
        <v>3355</v>
      </c>
      <c r="G661" t="n">
        <v>3506</v>
      </c>
      <c r="H661" s="23" t="n">
        <v>258335</v>
      </c>
      <c r="I661" s="23" t="n">
        <v>269962</v>
      </c>
      <c r="J661" t="inlineStr">
        <is>
          <t>Dec</t>
        </is>
      </c>
      <c r="K661" t="n">
        <v>12</v>
      </c>
      <c r="L661" t="inlineStr">
        <is>
          <t>Q4</t>
        </is>
      </c>
      <c r="M661" t="n">
        <v>2024</v>
      </c>
      <c r="N661" s="22" t="n">
        <v>45627</v>
      </c>
      <c r="O661" s="24" t="n">
        <v>0.9569309754706218</v>
      </c>
      <c r="P661" s="23" t="n">
        <v>-11627</v>
      </c>
    </row>
    <row r="662">
      <c r="A662" t="inlineStr">
        <is>
          <t>Glucophage 500 MG</t>
        </is>
      </c>
      <c r="B662" t="inlineStr">
        <is>
          <t>Sharqia 2</t>
        </is>
      </c>
      <c r="C662" s="22" t="n">
        <v>45292</v>
      </c>
      <c r="D662" t="inlineStr">
        <is>
          <t>Youssef Farouk</t>
        </is>
      </c>
      <c r="E662" t="n">
        <v>77</v>
      </c>
      <c r="F662" t="n">
        <v>3005</v>
      </c>
      <c r="G662" t="n">
        <v>2818</v>
      </c>
      <c r="H662" s="23" t="n">
        <v>231385</v>
      </c>
      <c r="I662" s="23" t="n">
        <v>216986</v>
      </c>
      <c r="J662" t="inlineStr">
        <is>
          <t>Jan</t>
        </is>
      </c>
      <c r="K662" t="n">
        <v>1</v>
      </c>
      <c r="L662" t="inlineStr">
        <is>
          <t>Q1</t>
        </is>
      </c>
      <c r="M662" t="n">
        <v>2024</v>
      </c>
      <c r="N662" s="22" t="n">
        <v>45292</v>
      </c>
      <c r="O662" s="24" t="n">
        <v>1.066359119943222</v>
      </c>
      <c r="P662" s="23" t="n">
        <v>14399</v>
      </c>
    </row>
    <row r="663">
      <c r="A663" t="inlineStr">
        <is>
          <t>Glucophage 500 MG</t>
        </is>
      </c>
      <c r="B663" t="inlineStr">
        <is>
          <t>Sharqia 2</t>
        </is>
      </c>
      <c r="C663" s="22" t="n">
        <v>45323</v>
      </c>
      <c r="D663" t="inlineStr">
        <is>
          <t>Youssef Farouk</t>
        </is>
      </c>
      <c r="E663" t="n">
        <v>77</v>
      </c>
      <c r="F663" t="n">
        <v>1803</v>
      </c>
      <c r="G663" t="n">
        <v>2109</v>
      </c>
      <c r="H663" s="23" t="n">
        <v>138831</v>
      </c>
      <c r="I663" s="23" t="n">
        <v>162393</v>
      </c>
      <c r="J663" t="inlineStr">
        <is>
          <t>Feb</t>
        </is>
      </c>
      <c r="K663" t="n">
        <v>2</v>
      </c>
      <c r="L663" t="inlineStr">
        <is>
          <t>Q1</t>
        </is>
      </c>
      <c r="M663" t="n">
        <v>2024</v>
      </c>
      <c r="N663" s="22" t="n">
        <v>45323</v>
      </c>
      <c r="O663" s="24" t="n">
        <v>0.8549075391180654</v>
      </c>
      <c r="P663" s="23" t="n">
        <v>-23562</v>
      </c>
    </row>
    <row r="664">
      <c r="A664" t="inlineStr">
        <is>
          <t>Glucophage 500 MG</t>
        </is>
      </c>
      <c r="B664" t="inlineStr">
        <is>
          <t>Sharqia 2</t>
        </is>
      </c>
      <c r="C664" s="22" t="n">
        <v>45352</v>
      </c>
      <c r="D664" t="inlineStr">
        <is>
          <t>Youssef Farouk</t>
        </is>
      </c>
      <c r="E664" t="n">
        <v>77</v>
      </c>
      <c r="F664" t="n">
        <v>2621</v>
      </c>
      <c r="G664" t="n">
        <v>2908</v>
      </c>
      <c r="H664" s="23" t="n">
        <v>201817</v>
      </c>
      <c r="I664" s="23" t="n">
        <v>223916</v>
      </c>
      <c r="J664" t="inlineStr">
        <is>
          <t>Mar</t>
        </is>
      </c>
      <c r="K664" t="n">
        <v>3</v>
      </c>
      <c r="L664" t="inlineStr">
        <is>
          <t>Q1</t>
        </is>
      </c>
      <c r="M664" t="n">
        <v>2024</v>
      </c>
      <c r="N664" s="22" t="n">
        <v>45352</v>
      </c>
      <c r="O664" s="24" t="n">
        <v>0.9013067400275103</v>
      </c>
      <c r="P664" s="23" t="n">
        <v>-22099</v>
      </c>
    </row>
    <row r="665">
      <c r="A665" t="inlineStr">
        <is>
          <t>Glucophage 500 MG</t>
        </is>
      </c>
      <c r="B665" t="inlineStr">
        <is>
          <t>Sharqia 2</t>
        </is>
      </c>
      <c r="C665" s="22" t="n">
        <v>45383</v>
      </c>
      <c r="D665" t="inlineStr">
        <is>
          <t>Youssef Farouk</t>
        </is>
      </c>
      <c r="E665" t="n">
        <v>77</v>
      </c>
      <c r="F665" t="n">
        <v>3200</v>
      </c>
      <c r="G665" t="n">
        <v>3125</v>
      </c>
      <c r="H665" s="23" t="n">
        <v>246400</v>
      </c>
      <c r="I665" s="23" t="n">
        <v>240625</v>
      </c>
      <c r="J665" t="inlineStr">
        <is>
          <t>Apr</t>
        </is>
      </c>
      <c r="K665" t="n">
        <v>4</v>
      </c>
      <c r="L665" t="inlineStr">
        <is>
          <t>Q2</t>
        </is>
      </c>
      <c r="M665" t="n">
        <v>2024</v>
      </c>
      <c r="N665" s="22" t="n">
        <v>45383</v>
      </c>
      <c r="O665" s="24" t="n">
        <v>1.024</v>
      </c>
      <c r="P665" s="23" t="n">
        <v>5775</v>
      </c>
    </row>
    <row r="666">
      <c r="A666" t="inlineStr">
        <is>
          <t>Glucophage 500 MG</t>
        </is>
      </c>
      <c r="B666" t="inlineStr">
        <is>
          <t>Sharqia 2</t>
        </is>
      </c>
      <c r="C666" s="22" t="n">
        <v>45413</v>
      </c>
      <c r="D666" t="inlineStr">
        <is>
          <t>Youssef Farouk</t>
        </is>
      </c>
      <c r="E666" t="n">
        <v>77</v>
      </c>
      <c r="F666" t="n">
        <v>3280</v>
      </c>
      <c r="G666" t="n">
        <v>3153</v>
      </c>
      <c r="H666" s="23" t="n">
        <v>252560</v>
      </c>
      <c r="I666" s="23" t="n">
        <v>242781</v>
      </c>
      <c r="J666" t="inlineStr">
        <is>
          <t>May</t>
        </is>
      </c>
      <c r="K666" t="n">
        <v>5</v>
      </c>
      <c r="L666" t="inlineStr">
        <is>
          <t>Q2</t>
        </is>
      </c>
      <c r="M666" t="n">
        <v>2024</v>
      </c>
      <c r="N666" s="22" t="n">
        <v>45413</v>
      </c>
      <c r="O666" s="24" t="n">
        <v>1.040279099270536</v>
      </c>
      <c r="P666" s="23" t="n">
        <v>9779</v>
      </c>
    </row>
    <row r="667">
      <c r="A667" t="inlineStr">
        <is>
          <t>Glucophage 500 MG</t>
        </is>
      </c>
      <c r="B667" t="inlineStr">
        <is>
          <t>Sharqia 2</t>
        </is>
      </c>
      <c r="C667" s="22" t="n">
        <v>45444</v>
      </c>
      <c r="D667" t="inlineStr">
        <is>
          <t>Youssef Farouk</t>
        </is>
      </c>
      <c r="E667" t="n">
        <v>77</v>
      </c>
      <c r="F667" t="n">
        <v>2866</v>
      </c>
      <c r="G667" t="n">
        <v>2628</v>
      </c>
      <c r="H667" s="23" t="n">
        <v>220682</v>
      </c>
      <c r="I667" s="23" t="n">
        <v>202356</v>
      </c>
      <c r="J667" t="inlineStr">
        <is>
          <t>Jun</t>
        </is>
      </c>
      <c r="K667" t="n">
        <v>6</v>
      </c>
      <c r="L667" t="inlineStr">
        <is>
          <t>Q2</t>
        </is>
      </c>
      <c r="M667" t="n">
        <v>2024</v>
      </c>
      <c r="N667" s="22" t="n">
        <v>45444</v>
      </c>
      <c r="O667" s="24" t="n">
        <v>1.090563165905632</v>
      </c>
      <c r="P667" s="23" t="n">
        <v>18326</v>
      </c>
    </row>
    <row r="668">
      <c r="A668" t="inlineStr">
        <is>
          <t>Glucophage 500 MG</t>
        </is>
      </c>
      <c r="B668" t="inlineStr">
        <is>
          <t>Sharqia 2</t>
        </is>
      </c>
      <c r="C668" s="22" t="n">
        <v>45474</v>
      </c>
      <c r="D668" t="inlineStr">
        <is>
          <t>Youssef Farouk</t>
        </is>
      </c>
      <c r="E668" t="n">
        <v>77</v>
      </c>
      <c r="F668" t="n">
        <v>3516</v>
      </c>
      <c r="G668" t="n">
        <v>3646</v>
      </c>
      <c r="H668" s="23" t="n">
        <v>270732</v>
      </c>
      <c r="I668" s="23" t="n">
        <v>280742</v>
      </c>
      <c r="J668" t="inlineStr">
        <is>
          <t>Jul</t>
        </is>
      </c>
      <c r="K668" t="n">
        <v>7</v>
      </c>
      <c r="L668" t="inlineStr">
        <is>
          <t>Q3</t>
        </is>
      </c>
      <c r="M668" t="n">
        <v>2024</v>
      </c>
      <c r="N668" s="22" t="n">
        <v>45474</v>
      </c>
      <c r="O668" s="24" t="n">
        <v>0.9643444871091608</v>
      </c>
      <c r="P668" s="23" t="n">
        <v>-10010</v>
      </c>
    </row>
    <row r="669">
      <c r="A669" t="inlineStr">
        <is>
          <t>Glucophage 500 MG</t>
        </is>
      </c>
      <c r="B669" t="inlineStr">
        <is>
          <t>Sharqia 2</t>
        </is>
      </c>
      <c r="C669" s="22" t="n">
        <v>45505</v>
      </c>
      <c r="D669" t="inlineStr">
        <is>
          <t>Youssef Farouk</t>
        </is>
      </c>
      <c r="E669" t="n">
        <v>77</v>
      </c>
      <c r="F669" t="n">
        <v>3765</v>
      </c>
      <c r="G669" t="n">
        <v>3561</v>
      </c>
      <c r="H669" s="23" t="n">
        <v>289905</v>
      </c>
      <c r="I669" s="23" t="n">
        <v>274197</v>
      </c>
      <c r="J669" t="inlineStr">
        <is>
          <t>Aug</t>
        </is>
      </c>
      <c r="K669" t="n">
        <v>8</v>
      </c>
      <c r="L669" t="inlineStr">
        <is>
          <t>Q3</t>
        </is>
      </c>
      <c r="M669" t="n">
        <v>2024</v>
      </c>
      <c r="N669" s="22" t="n">
        <v>45505</v>
      </c>
      <c r="O669" s="24" t="n">
        <v>1.057287278854254</v>
      </c>
      <c r="P669" s="23" t="n">
        <v>15708</v>
      </c>
    </row>
    <row r="670">
      <c r="A670" t="inlineStr">
        <is>
          <t>Glucophage 500 MG</t>
        </is>
      </c>
      <c r="B670" t="inlineStr">
        <is>
          <t>Sharqia 2</t>
        </is>
      </c>
      <c r="C670" s="22" t="n">
        <v>45536</v>
      </c>
      <c r="D670" t="inlineStr">
        <is>
          <t>Youssef Farouk</t>
        </is>
      </c>
      <c r="E670" t="n">
        <v>77</v>
      </c>
      <c r="F670" t="n">
        <v>3475</v>
      </c>
      <c r="G670" t="n">
        <v>3125</v>
      </c>
      <c r="H670" s="23" t="n">
        <v>267575</v>
      </c>
      <c r="I670" s="23" t="n">
        <v>240625</v>
      </c>
      <c r="J670" t="inlineStr">
        <is>
          <t>Sep</t>
        </is>
      </c>
      <c r="K670" t="n">
        <v>9</v>
      </c>
      <c r="L670" t="inlineStr">
        <is>
          <t>Q3</t>
        </is>
      </c>
      <c r="M670" t="n">
        <v>2024</v>
      </c>
      <c r="N670" s="22" t="n">
        <v>45536</v>
      </c>
      <c r="O670" s="24" t="n">
        <v>1.112</v>
      </c>
      <c r="P670" s="23" t="n">
        <v>26950</v>
      </c>
    </row>
    <row r="671">
      <c r="A671" t="inlineStr">
        <is>
          <t>Glucophage 500 MG</t>
        </is>
      </c>
      <c r="B671" t="inlineStr">
        <is>
          <t>Sharqia 2</t>
        </is>
      </c>
      <c r="C671" s="22" t="n">
        <v>45566</v>
      </c>
      <c r="D671" t="inlineStr">
        <is>
          <t>Youssef Farouk</t>
        </is>
      </c>
      <c r="E671" t="n">
        <v>77</v>
      </c>
      <c r="F671" t="n">
        <v>2284</v>
      </c>
      <c r="G671" t="n">
        <v>2449</v>
      </c>
      <c r="H671" s="23" t="n">
        <v>175868</v>
      </c>
      <c r="I671" s="23" t="n">
        <v>188573</v>
      </c>
      <c r="J671" t="inlineStr">
        <is>
          <t>Oct</t>
        </is>
      </c>
      <c r="K671" t="n">
        <v>10</v>
      </c>
      <c r="L671" t="inlineStr">
        <is>
          <t>Q4</t>
        </is>
      </c>
      <c r="M671" t="n">
        <v>2024</v>
      </c>
      <c r="N671" s="22" t="n">
        <v>45566</v>
      </c>
      <c r="O671" s="24" t="n">
        <v>0.9326255614536546</v>
      </c>
      <c r="P671" s="23" t="n">
        <v>-12705</v>
      </c>
    </row>
    <row r="672">
      <c r="A672" t="inlineStr">
        <is>
          <t>Glucophage 500 MG</t>
        </is>
      </c>
      <c r="B672" t="inlineStr">
        <is>
          <t>Sharqia 2</t>
        </is>
      </c>
      <c r="C672" s="22" t="n">
        <v>45597</v>
      </c>
      <c r="D672" t="inlineStr">
        <is>
          <t>Youssef Farouk</t>
        </is>
      </c>
      <c r="E672" t="n">
        <v>77</v>
      </c>
      <c r="F672" t="n">
        <v>2478</v>
      </c>
      <c r="G672" t="n">
        <v>2711</v>
      </c>
      <c r="H672" s="23" t="n">
        <v>190806</v>
      </c>
      <c r="I672" s="23" t="n">
        <v>208747</v>
      </c>
      <c r="J672" t="inlineStr">
        <is>
          <t>Nov</t>
        </is>
      </c>
      <c r="K672" t="n">
        <v>11</v>
      </c>
      <c r="L672" t="inlineStr">
        <is>
          <t>Q4</t>
        </is>
      </c>
      <c r="M672" t="n">
        <v>2024</v>
      </c>
      <c r="N672" s="22" t="n">
        <v>45597</v>
      </c>
      <c r="O672" s="24" t="n">
        <v>0.9140538546661748</v>
      </c>
      <c r="P672" s="23" t="n">
        <v>-17941</v>
      </c>
    </row>
    <row r="673">
      <c r="A673" t="inlineStr">
        <is>
          <t>Glucophage 500 MG</t>
        </is>
      </c>
      <c r="B673" t="inlineStr">
        <is>
          <t>Sharqia 2</t>
        </is>
      </c>
      <c r="C673" s="22" t="n">
        <v>45627</v>
      </c>
      <c r="D673" t="inlineStr">
        <is>
          <t>Youssef Farouk</t>
        </is>
      </c>
      <c r="E673" t="n">
        <v>77</v>
      </c>
      <c r="F673" t="n">
        <v>2756</v>
      </c>
      <c r="G673" t="n">
        <v>2714</v>
      </c>
      <c r="H673" s="23" t="n">
        <v>212212</v>
      </c>
      <c r="I673" s="23" t="n">
        <v>208978</v>
      </c>
      <c r="J673" t="inlineStr">
        <is>
          <t>Dec</t>
        </is>
      </c>
      <c r="K673" t="n">
        <v>12</v>
      </c>
      <c r="L673" t="inlineStr">
        <is>
          <t>Q4</t>
        </is>
      </c>
      <c r="M673" t="n">
        <v>2024</v>
      </c>
      <c r="N673" s="22" t="n">
        <v>45627</v>
      </c>
      <c r="O673" s="24" t="n">
        <v>1.015475313190862</v>
      </c>
      <c r="P673" s="23" t="n">
        <v>3234</v>
      </c>
    </row>
    <row r="674">
      <c r="A674" t="inlineStr">
        <is>
          <t>Concor 5 MG</t>
        </is>
      </c>
      <c r="B674" t="inlineStr">
        <is>
          <t>Alexandria 1</t>
        </is>
      </c>
      <c r="C674" s="22" t="n">
        <v>45292</v>
      </c>
      <c r="D674" t="inlineStr">
        <is>
          <t>Ahmed Hassan</t>
        </is>
      </c>
      <c r="E674" t="n">
        <v>72</v>
      </c>
      <c r="F674" t="n">
        <v>3151</v>
      </c>
      <c r="G674" t="n">
        <v>2700</v>
      </c>
      <c r="H674" s="23" t="n">
        <v>226872</v>
      </c>
      <c r="I674" s="23" t="n">
        <v>194400</v>
      </c>
      <c r="J674" t="inlineStr">
        <is>
          <t>Jan</t>
        </is>
      </c>
      <c r="K674" t="n">
        <v>1</v>
      </c>
      <c r="L674" t="inlineStr">
        <is>
          <t>Q1</t>
        </is>
      </c>
      <c r="M674" t="n">
        <v>2024</v>
      </c>
      <c r="N674" s="22" t="n">
        <v>45292</v>
      </c>
      <c r="O674" s="24" t="n">
        <v>1.167037037037037</v>
      </c>
      <c r="P674" s="23" t="n">
        <v>32472</v>
      </c>
    </row>
    <row r="675">
      <c r="A675" t="inlineStr">
        <is>
          <t>Concor 5 MG</t>
        </is>
      </c>
      <c r="B675" t="inlineStr">
        <is>
          <t>Alexandria 1</t>
        </is>
      </c>
      <c r="C675" s="22" t="n">
        <v>45323</v>
      </c>
      <c r="D675" t="inlineStr">
        <is>
          <t>Ahmed Hassan</t>
        </is>
      </c>
      <c r="E675" t="n">
        <v>72</v>
      </c>
      <c r="F675" t="n">
        <v>2237</v>
      </c>
      <c r="G675" t="n">
        <v>2276</v>
      </c>
      <c r="H675" s="23" t="n">
        <v>161064</v>
      </c>
      <c r="I675" s="23" t="n">
        <v>163872</v>
      </c>
      <c r="J675" t="inlineStr">
        <is>
          <t>Feb</t>
        </is>
      </c>
      <c r="K675" t="n">
        <v>2</v>
      </c>
      <c r="L675" t="inlineStr">
        <is>
          <t>Q1</t>
        </is>
      </c>
      <c r="M675" t="n">
        <v>2024</v>
      </c>
      <c r="N675" s="22" t="n">
        <v>45323</v>
      </c>
      <c r="O675" s="24" t="n">
        <v>0.9828646748681898</v>
      </c>
      <c r="P675" s="23" t="n">
        <v>-2808</v>
      </c>
    </row>
    <row r="676">
      <c r="A676" t="inlineStr">
        <is>
          <t>Concor 5 MG</t>
        </is>
      </c>
      <c r="B676" t="inlineStr">
        <is>
          <t>Alexandria 1</t>
        </is>
      </c>
      <c r="C676" s="22" t="n">
        <v>45352</v>
      </c>
      <c r="D676" t="inlineStr">
        <is>
          <t>Ahmed Hassan</t>
        </is>
      </c>
      <c r="E676" t="n">
        <v>72</v>
      </c>
      <c r="F676" t="n">
        <v>2853</v>
      </c>
      <c r="G676" t="n">
        <v>2831</v>
      </c>
      <c r="H676" s="23" t="n">
        <v>205416</v>
      </c>
      <c r="I676" s="23" t="n">
        <v>203832</v>
      </c>
      <c r="J676" t="inlineStr">
        <is>
          <t>Mar</t>
        </is>
      </c>
      <c r="K676" t="n">
        <v>3</v>
      </c>
      <c r="L676" t="inlineStr">
        <is>
          <t>Q1</t>
        </is>
      </c>
      <c r="M676" t="n">
        <v>2024</v>
      </c>
      <c r="N676" s="22" t="n">
        <v>45352</v>
      </c>
      <c r="O676" s="24" t="n">
        <v>1.00777110561639</v>
      </c>
      <c r="P676" s="23" t="n">
        <v>1584</v>
      </c>
    </row>
    <row r="677">
      <c r="A677" t="inlineStr">
        <is>
          <t>Concor 5 MG</t>
        </is>
      </c>
      <c r="B677" t="inlineStr">
        <is>
          <t>Alexandria 1</t>
        </is>
      </c>
      <c r="C677" s="22" t="n">
        <v>45383</v>
      </c>
      <c r="D677" t="inlineStr">
        <is>
          <t>Ahmed Hassan</t>
        </is>
      </c>
      <c r="E677" t="n">
        <v>72</v>
      </c>
      <c r="F677" t="n">
        <v>2705</v>
      </c>
      <c r="G677" t="n">
        <v>2508</v>
      </c>
      <c r="H677" s="23" t="n">
        <v>194760</v>
      </c>
      <c r="I677" s="23" t="n">
        <v>180576</v>
      </c>
      <c r="J677" t="inlineStr">
        <is>
          <t>Apr</t>
        </is>
      </c>
      <c r="K677" t="n">
        <v>4</v>
      </c>
      <c r="L677" t="inlineStr">
        <is>
          <t>Q2</t>
        </is>
      </c>
      <c r="M677" t="n">
        <v>2024</v>
      </c>
      <c r="N677" s="22" t="n">
        <v>45383</v>
      </c>
      <c r="O677" s="24" t="n">
        <v>1.078548644338118</v>
      </c>
      <c r="P677" s="23" t="n">
        <v>14184</v>
      </c>
    </row>
    <row r="678">
      <c r="A678" t="inlineStr">
        <is>
          <t>Concor 5 MG</t>
        </is>
      </c>
      <c r="B678" t="inlineStr">
        <is>
          <t>Alexandria 1</t>
        </is>
      </c>
      <c r="C678" s="22" t="n">
        <v>45413</v>
      </c>
      <c r="D678" t="inlineStr">
        <is>
          <t>Ahmed Hassan</t>
        </is>
      </c>
      <c r="E678" t="n">
        <v>72</v>
      </c>
      <c r="F678" t="n">
        <v>2630</v>
      </c>
      <c r="G678" t="n">
        <v>2995</v>
      </c>
      <c r="H678" s="23" t="n">
        <v>189360</v>
      </c>
      <c r="I678" s="23" t="n">
        <v>215640</v>
      </c>
      <c r="J678" t="inlineStr">
        <is>
          <t>May</t>
        </is>
      </c>
      <c r="K678" t="n">
        <v>5</v>
      </c>
      <c r="L678" t="inlineStr">
        <is>
          <t>Q2</t>
        </is>
      </c>
      <c r="M678" t="n">
        <v>2024</v>
      </c>
      <c r="N678" s="22" t="n">
        <v>45413</v>
      </c>
      <c r="O678" s="24" t="n">
        <v>0.8781302170283807</v>
      </c>
      <c r="P678" s="23" t="n">
        <v>-26280</v>
      </c>
    </row>
    <row r="679">
      <c r="A679" t="inlineStr">
        <is>
          <t>Concor 5 MG</t>
        </is>
      </c>
      <c r="B679" t="inlineStr">
        <is>
          <t>Alexandria 1</t>
        </is>
      </c>
      <c r="C679" s="22" t="n">
        <v>45444</v>
      </c>
      <c r="D679" t="inlineStr">
        <is>
          <t>Ahmed Hassan</t>
        </is>
      </c>
      <c r="E679" t="n">
        <v>72</v>
      </c>
      <c r="F679" t="n">
        <v>3226</v>
      </c>
      <c r="G679" t="n">
        <v>3064</v>
      </c>
      <c r="H679" s="23" t="n">
        <v>232272</v>
      </c>
      <c r="I679" s="23" t="n">
        <v>220608</v>
      </c>
      <c r="J679" t="inlineStr">
        <is>
          <t>Jun</t>
        </is>
      </c>
      <c r="K679" t="n">
        <v>6</v>
      </c>
      <c r="L679" t="inlineStr">
        <is>
          <t>Q2</t>
        </is>
      </c>
      <c r="M679" t="n">
        <v>2024</v>
      </c>
      <c r="N679" s="22" t="n">
        <v>45444</v>
      </c>
      <c r="O679" s="24" t="n">
        <v>1.052872062663185</v>
      </c>
      <c r="P679" s="23" t="n">
        <v>11664</v>
      </c>
    </row>
    <row r="680">
      <c r="A680" t="inlineStr">
        <is>
          <t>Concor 5 MG</t>
        </is>
      </c>
      <c r="B680" t="inlineStr">
        <is>
          <t>Alexandria 1</t>
        </is>
      </c>
      <c r="C680" s="22" t="n">
        <v>45474</v>
      </c>
      <c r="D680" t="inlineStr">
        <is>
          <t>Ahmed Hassan</t>
        </is>
      </c>
      <c r="E680" t="n">
        <v>72</v>
      </c>
      <c r="F680" t="n">
        <v>1870</v>
      </c>
      <c r="G680" t="n">
        <v>2040</v>
      </c>
      <c r="H680" s="23" t="n">
        <v>134640</v>
      </c>
      <c r="I680" s="23" t="n">
        <v>146880</v>
      </c>
      <c r="J680" t="inlineStr">
        <is>
          <t>Jul</t>
        </is>
      </c>
      <c r="K680" t="n">
        <v>7</v>
      </c>
      <c r="L680" t="inlineStr">
        <is>
          <t>Q3</t>
        </is>
      </c>
      <c r="M680" t="n">
        <v>2024</v>
      </c>
      <c r="N680" s="22" t="n">
        <v>45474</v>
      </c>
      <c r="O680" s="24" t="n">
        <v>0.9166666666666666</v>
      </c>
      <c r="P680" s="23" t="n">
        <v>-12240</v>
      </c>
    </row>
    <row r="681">
      <c r="A681" t="inlineStr">
        <is>
          <t>Concor 5 MG</t>
        </is>
      </c>
      <c r="B681" t="inlineStr">
        <is>
          <t>Alexandria 1</t>
        </is>
      </c>
      <c r="C681" s="22" t="n">
        <v>45505</v>
      </c>
      <c r="D681" t="inlineStr">
        <is>
          <t>Ahmed Hassan</t>
        </is>
      </c>
      <c r="E681" t="n">
        <v>72</v>
      </c>
      <c r="F681" t="n">
        <v>3882</v>
      </c>
      <c r="G681" t="n">
        <v>3792</v>
      </c>
      <c r="H681" s="23" t="n">
        <v>279504</v>
      </c>
      <c r="I681" s="23" t="n">
        <v>273024</v>
      </c>
      <c r="J681" t="inlineStr">
        <is>
          <t>Aug</t>
        </is>
      </c>
      <c r="K681" t="n">
        <v>8</v>
      </c>
      <c r="L681" t="inlineStr">
        <is>
          <t>Q3</t>
        </is>
      </c>
      <c r="M681" t="n">
        <v>2024</v>
      </c>
      <c r="N681" s="22" t="n">
        <v>45505</v>
      </c>
      <c r="O681" s="24" t="n">
        <v>1.02373417721519</v>
      </c>
      <c r="P681" s="23" t="n">
        <v>6480</v>
      </c>
    </row>
    <row r="682">
      <c r="A682" t="inlineStr">
        <is>
          <t>Concor 5 MG</t>
        </is>
      </c>
      <c r="B682" t="inlineStr">
        <is>
          <t>Alexandria 1</t>
        </is>
      </c>
      <c r="C682" s="22" t="n">
        <v>45536</v>
      </c>
      <c r="D682" t="inlineStr">
        <is>
          <t>Ahmed Hassan</t>
        </is>
      </c>
      <c r="E682" t="n">
        <v>72</v>
      </c>
      <c r="F682" t="n">
        <v>2399</v>
      </c>
      <c r="G682" t="n">
        <v>2484</v>
      </c>
      <c r="H682" s="23" t="n">
        <v>172728</v>
      </c>
      <c r="I682" s="23" t="n">
        <v>178848</v>
      </c>
      <c r="J682" t="inlineStr">
        <is>
          <t>Sep</t>
        </is>
      </c>
      <c r="K682" t="n">
        <v>9</v>
      </c>
      <c r="L682" t="inlineStr">
        <is>
          <t>Q3</t>
        </is>
      </c>
      <c r="M682" t="n">
        <v>2024</v>
      </c>
      <c r="N682" s="22" t="n">
        <v>45536</v>
      </c>
      <c r="O682" s="24" t="n">
        <v>0.965780998389694</v>
      </c>
      <c r="P682" s="23" t="n">
        <v>-6120</v>
      </c>
    </row>
    <row r="683">
      <c r="A683" t="inlineStr">
        <is>
          <t>Concor 5 MG</t>
        </is>
      </c>
      <c r="B683" t="inlineStr">
        <is>
          <t>Alexandria 1</t>
        </is>
      </c>
      <c r="C683" s="22" t="n">
        <v>45566</v>
      </c>
      <c r="D683" t="inlineStr">
        <is>
          <t>Ahmed Hassan</t>
        </is>
      </c>
      <c r="E683" t="n">
        <v>72</v>
      </c>
      <c r="F683" t="n">
        <v>3507</v>
      </c>
      <c r="G683" t="n">
        <v>3579</v>
      </c>
      <c r="H683" s="23" t="n">
        <v>252504</v>
      </c>
      <c r="I683" s="23" t="n">
        <v>257688</v>
      </c>
      <c r="J683" t="inlineStr">
        <is>
          <t>Oct</t>
        </is>
      </c>
      <c r="K683" t="n">
        <v>10</v>
      </c>
      <c r="L683" t="inlineStr">
        <is>
          <t>Q4</t>
        </is>
      </c>
      <c r="M683" t="n">
        <v>2024</v>
      </c>
      <c r="N683" s="22" t="n">
        <v>45566</v>
      </c>
      <c r="O683" s="24" t="n">
        <v>0.9798826487845766</v>
      </c>
      <c r="P683" s="23" t="n">
        <v>-5184</v>
      </c>
    </row>
    <row r="684">
      <c r="A684" t="inlineStr">
        <is>
          <t>Concor 5 MG</t>
        </is>
      </c>
      <c r="B684" t="inlineStr">
        <is>
          <t>Alexandria 1</t>
        </is>
      </c>
      <c r="C684" s="22" t="n">
        <v>45597</v>
      </c>
      <c r="D684" t="inlineStr">
        <is>
          <t>Ahmed Hassan</t>
        </is>
      </c>
      <c r="E684" t="n">
        <v>72</v>
      </c>
      <c r="F684" t="n">
        <v>2540</v>
      </c>
      <c r="G684" t="n">
        <v>2648</v>
      </c>
      <c r="H684" s="23" t="n">
        <v>182880</v>
      </c>
      <c r="I684" s="23" t="n">
        <v>190656</v>
      </c>
      <c r="J684" t="inlineStr">
        <is>
          <t>Nov</t>
        </is>
      </c>
      <c r="K684" t="n">
        <v>11</v>
      </c>
      <c r="L684" t="inlineStr">
        <is>
          <t>Q4</t>
        </is>
      </c>
      <c r="M684" t="n">
        <v>2024</v>
      </c>
      <c r="N684" s="22" t="n">
        <v>45597</v>
      </c>
      <c r="O684" s="24" t="n">
        <v>0.959214501510574</v>
      </c>
      <c r="P684" s="23" t="n">
        <v>-7776</v>
      </c>
    </row>
    <row r="685">
      <c r="A685" t="inlineStr">
        <is>
          <t>Concor 5 MG</t>
        </is>
      </c>
      <c r="B685" t="inlineStr">
        <is>
          <t>Alexandria 1</t>
        </is>
      </c>
      <c r="C685" s="22" t="n">
        <v>45627</v>
      </c>
      <c r="D685" t="inlineStr">
        <is>
          <t>Ahmed Hassan</t>
        </is>
      </c>
      <c r="E685" t="n">
        <v>72</v>
      </c>
      <c r="F685" t="n">
        <v>3170</v>
      </c>
      <c r="G685" t="n">
        <v>3410</v>
      </c>
      <c r="H685" s="23" t="n">
        <v>228240</v>
      </c>
      <c r="I685" s="23" t="n">
        <v>245520</v>
      </c>
      <c r="J685" t="inlineStr">
        <is>
          <t>Dec</t>
        </is>
      </c>
      <c r="K685" t="n">
        <v>12</v>
      </c>
      <c r="L685" t="inlineStr">
        <is>
          <t>Q4</t>
        </is>
      </c>
      <c r="M685" t="n">
        <v>2024</v>
      </c>
      <c r="N685" s="22" t="n">
        <v>45627</v>
      </c>
      <c r="O685" s="24" t="n">
        <v>0.9296187683284457</v>
      </c>
      <c r="P685" s="23" t="n">
        <v>-17280</v>
      </c>
    </row>
    <row r="686">
      <c r="A686" t="inlineStr">
        <is>
          <t>Concor 5 MG</t>
        </is>
      </c>
      <c r="B686" t="inlineStr">
        <is>
          <t>Alexandria 2</t>
        </is>
      </c>
      <c r="C686" s="22" t="n">
        <v>45292</v>
      </c>
      <c r="D686" t="inlineStr">
        <is>
          <t>Amira Mostafa</t>
        </is>
      </c>
      <c r="E686" t="n">
        <v>72</v>
      </c>
      <c r="F686" t="n">
        <v>2529</v>
      </c>
      <c r="G686" t="n">
        <v>2553</v>
      </c>
      <c r="H686" s="23" t="n">
        <v>182088</v>
      </c>
      <c r="I686" s="23" t="n">
        <v>183816</v>
      </c>
      <c r="J686" t="inlineStr">
        <is>
          <t>Jan</t>
        </is>
      </c>
      <c r="K686" t="n">
        <v>1</v>
      </c>
      <c r="L686" t="inlineStr">
        <is>
          <t>Q1</t>
        </is>
      </c>
      <c r="M686" t="n">
        <v>2024</v>
      </c>
      <c r="N686" s="22" t="n">
        <v>45292</v>
      </c>
      <c r="O686" s="24" t="n">
        <v>0.9905992949471211</v>
      </c>
      <c r="P686" s="23" t="n">
        <v>-1728</v>
      </c>
    </row>
    <row r="687">
      <c r="A687" t="inlineStr">
        <is>
          <t>Concor 5 MG</t>
        </is>
      </c>
      <c r="B687" t="inlineStr">
        <is>
          <t>Alexandria 2</t>
        </is>
      </c>
      <c r="C687" s="22" t="n">
        <v>45323</v>
      </c>
      <c r="D687" t="inlineStr">
        <is>
          <t>Amira Mostafa</t>
        </is>
      </c>
      <c r="E687" t="n">
        <v>72</v>
      </c>
      <c r="F687" t="n">
        <v>2202</v>
      </c>
      <c r="G687" t="n">
        <v>2516</v>
      </c>
      <c r="H687" s="23" t="n">
        <v>158544</v>
      </c>
      <c r="I687" s="23" t="n">
        <v>181152</v>
      </c>
      <c r="J687" t="inlineStr">
        <is>
          <t>Feb</t>
        </is>
      </c>
      <c r="K687" t="n">
        <v>2</v>
      </c>
      <c r="L687" t="inlineStr">
        <is>
          <t>Q1</t>
        </is>
      </c>
      <c r="M687" t="n">
        <v>2024</v>
      </c>
      <c r="N687" s="22" t="n">
        <v>45323</v>
      </c>
      <c r="O687" s="24" t="n">
        <v>0.8751987281399046</v>
      </c>
      <c r="P687" s="23" t="n">
        <v>-22608</v>
      </c>
    </row>
    <row r="688">
      <c r="A688" t="inlineStr">
        <is>
          <t>Concor 5 MG</t>
        </is>
      </c>
      <c r="B688" t="inlineStr">
        <is>
          <t>Alexandria 2</t>
        </is>
      </c>
      <c r="C688" s="22" t="n">
        <v>45352</v>
      </c>
      <c r="D688" t="inlineStr">
        <is>
          <t>Amira Mostafa</t>
        </is>
      </c>
      <c r="E688" t="n">
        <v>72</v>
      </c>
      <c r="F688" t="n">
        <v>2299</v>
      </c>
      <c r="G688" t="n">
        <v>2094</v>
      </c>
      <c r="H688" s="23" t="n">
        <v>165528</v>
      </c>
      <c r="I688" s="23" t="n">
        <v>150768</v>
      </c>
      <c r="J688" t="inlineStr">
        <is>
          <t>Mar</t>
        </is>
      </c>
      <c r="K688" t="n">
        <v>3</v>
      </c>
      <c r="L688" t="inlineStr">
        <is>
          <t>Q1</t>
        </is>
      </c>
      <c r="M688" t="n">
        <v>2024</v>
      </c>
      <c r="N688" s="22" t="n">
        <v>45352</v>
      </c>
      <c r="O688" s="24" t="n">
        <v>1.097898758357211</v>
      </c>
      <c r="P688" s="23" t="n">
        <v>14760</v>
      </c>
    </row>
    <row r="689">
      <c r="A689" t="inlineStr">
        <is>
          <t>Concor 5 MG</t>
        </is>
      </c>
      <c r="B689" t="inlineStr">
        <is>
          <t>Alexandria 2</t>
        </is>
      </c>
      <c r="C689" s="22" t="n">
        <v>45383</v>
      </c>
      <c r="D689" t="inlineStr">
        <is>
          <t>Amira Mostafa</t>
        </is>
      </c>
      <c r="E689" t="n">
        <v>72</v>
      </c>
      <c r="F689" t="n">
        <v>3694</v>
      </c>
      <c r="G689" t="n">
        <v>3639</v>
      </c>
      <c r="H689" s="23" t="n">
        <v>265968</v>
      </c>
      <c r="I689" s="23" t="n">
        <v>262008</v>
      </c>
      <c r="J689" t="inlineStr">
        <is>
          <t>Apr</t>
        </is>
      </c>
      <c r="K689" t="n">
        <v>4</v>
      </c>
      <c r="L689" t="inlineStr">
        <is>
          <t>Q2</t>
        </is>
      </c>
      <c r="M689" t="n">
        <v>2024</v>
      </c>
      <c r="N689" s="22" t="n">
        <v>45383</v>
      </c>
      <c r="O689" s="24" t="n">
        <v>1.015114042319319</v>
      </c>
      <c r="P689" s="23" t="n">
        <v>3960</v>
      </c>
    </row>
    <row r="690">
      <c r="A690" t="inlineStr">
        <is>
          <t>Concor 5 MG</t>
        </is>
      </c>
      <c r="B690" t="inlineStr">
        <is>
          <t>Alexandria 2</t>
        </is>
      </c>
      <c r="C690" s="22" t="n">
        <v>45413</v>
      </c>
      <c r="D690" t="inlineStr">
        <is>
          <t>Amira Mostafa</t>
        </is>
      </c>
      <c r="E690" t="n">
        <v>72</v>
      </c>
      <c r="F690" t="n">
        <v>2952</v>
      </c>
      <c r="G690" t="n">
        <v>3013</v>
      </c>
      <c r="H690" s="23" t="n">
        <v>212544</v>
      </c>
      <c r="I690" s="23" t="n">
        <v>216936</v>
      </c>
      <c r="J690" t="inlineStr">
        <is>
          <t>May</t>
        </is>
      </c>
      <c r="K690" t="n">
        <v>5</v>
      </c>
      <c r="L690" t="inlineStr">
        <is>
          <t>Q2</t>
        </is>
      </c>
      <c r="M690" t="n">
        <v>2024</v>
      </c>
      <c r="N690" s="22" t="n">
        <v>45413</v>
      </c>
      <c r="O690" s="24" t="n">
        <v>0.9797543976103551</v>
      </c>
      <c r="P690" s="23" t="n">
        <v>-4392</v>
      </c>
    </row>
    <row r="691">
      <c r="A691" t="inlineStr">
        <is>
          <t>Concor 5 MG</t>
        </is>
      </c>
      <c r="B691" t="inlineStr">
        <is>
          <t>Alexandria 2</t>
        </is>
      </c>
      <c r="C691" s="22" t="n">
        <v>45444</v>
      </c>
      <c r="D691" t="inlineStr">
        <is>
          <t>Amira Mostafa</t>
        </is>
      </c>
      <c r="E691" t="n">
        <v>72</v>
      </c>
      <c r="F691" t="n">
        <v>2500</v>
      </c>
      <c r="G691" t="n">
        <v>3934</v>
      </c>
      <c r="H691" s="23" t="n">
        <v>180000</v>
      </c>
      <c r="I691" s="23" t="n">
        <v>283248</v>
      </c>
      <c r="J691" t="inlineStr">
        <is>
          <t>Jun</t>
        </is>
      </c>
      <c r="K691" t="n">
        <v>6</v>
      </c>
      <c r="L691" t="inlineStr">
        <is>
          <t>Q2</t>
        </is>
      </c>
      <c r="M691" t="n">
        <v>2024</v>
      </c>
      <c r="N691" s="22" t="n">
        <v>45444</v>
      </c>
      <c r="O691" s="24" t="n">
        <v>0.6354855109303508</v>
      </c>
      <c r="P691" s="23" t="n">
        <v>-103248</v>
      </c>
    </row>
    <row r="692">
      <c r="A692" t="inlineStr">
        <is>
          <t>Concor 5 MG</t>
        </is>
      </c>
      <c r="B692" t="inlineStr">
        <is>
          <t>Alexandria 2</t>
        </is>
      </c>
      <c r="C692" s="22" t="n">
        <v>45474</v>
      </c>
      <c r="D692" t="inlineStr">
        <is>
          <t>Amira Mostafa</t>
        </is>
      </c>
      <c r="E692" t="n">
        <v>72</v>
      </c>
      <c r="F692" t="n">
        <v>3760</v>
      </c>
      <c r="G692" t="n">
        <v>3552</v>
      </c>
      <c r="H692" s="23" t="n">
        <v>270720</v>
      </c>
      <c r="I692" s="23" t="n">
        <v>255744</v>
      </c>
      <c r="J692" t="inlineStr">
        <is>
          <t>Jul</t>
        </is>
      </c>
      <c r="K692" t="n">
        <v>7</v>
      </c>
      <c r="L692" t="inlineStr">
        <is>
          <t>Q3</t>
        </is>
      </c>
      <c r="M692" t="n">
        <v>2024</v>
      </c>
      <c r="N692" s="22" t="n">
        <v>45474</v>
      </c>
      <c r="O692" s="24" t="n">
        <v>1.058558558558559</v>
      </c>
      <c r="P692" s="23" t="n">
        <v>14976</v>
      </c>
    </row>
    <row r="693">
      <c r="A693" t="inlineStr">
        <is>
          <t>Concor 5 MG</t>
        </is>
      </c>
      <c r="B693" t="inlineStr">
        <is>
          <t>Alexandria 2</t>
        </is>
      </c>
      <c r="C693" s="22" t="n">
        <v>45505</v>
      </c>
      <c r="D693" t="inlineStr">
        <is>
          <t>Amira Mostafa</t>
        </is>
      </c>
      <c r="E693" t="n">
        <v>72</v>
      </c>
      <c r="F693" t="n">
        <v>3089</v>
      </c>
      <c r="G693" t="n">
        <v>3072</v>
      </c>
      <c r="H693" s="23" t="n">
        <v>222408</v>
      </c>
      <c r="I693" s="23" t="n">
        <v>221184</v>
      </c>
      <c r="J693" t="inlineStr">
        <is>
          <t>Aug</t>
        </is>
      </c>
      <c r="K693" t="n">
        <v>8</v>
      </c>
      <c r="L693" t="inlineStr">
        <is>
          <t>Q3</t>
        </is>
      </c>
      <c r="M693" t="n">
        <v>2024</v>
      </c>
      <c r="N693" s="22" t="n">
        <v>45505</v>
      </c>
      <c r="O693" s="24" t="n">
        <v>1.005533854166667</v>
      </c>
      <c r="P693" s="23" t="n">
        <v>1224</v>
      </c>
    </row>
    <row r="694">
      <c r="A694" t="inlineStr">
        <is>
          <t>Concor 5 MG</t>
        </is>
      </c>
      <c r="B694" t="inlineStr">
        <is>
          <t>Alexandria 2</t>
        </is>
      </c>
      <c r="C694" s="22" t="n">
        <v>45536</v>
      </c>
      <c r="D694" t="inlineStr">
        <is>
          <t>Amira Mostafa</t>
        </is>
      </c>
      <c r="E694" t="n">
        <v>72</v>
      </c>
      <c r="F694" t="n">
        <v>1983</v>
      </c>
      <c r="G694" t="n">
        <v>2031</v>
      </c>
      <c r="H694" s="23" t="n">
        <v>142776</v>
      </c>
      <c r="I694" s="23" t="n">
        <v>146232</v>
      </c>
      <c r="J694" t="inlineStr">
        <is>
          <t>Sep</t>
        </is>
      </c>
      <c r="K694" t="n">
        <v>9</v>
      </c>
      <c r="L694" t="inlineStr">
        <is>
          <t>Q3</t>
        </is>
      </c>
      <c r="M694" t="n">
        <v>2024</v>
      </c>
      <c r="N694" s="22" t="n">
        <v>45536</v>
      </c>
      <c r="O694" s="24" t="n">
        <v>0.9763663220088626</v>
      </c>
      <c r="P694" s="23" t="n">
        <v>-3456</v>
      </c>
    </row>
    <row r="695">
      <c r="A695" t="inlineStr">
        <is>
          <t>Concor 5 MG</t>
        </is>
      </c>
      <c r="B695" t="inlineStr">
        <is>
          <t>Alexandria 2</t>
        </is>
      </c>
      <c r="C695" s="22" t="n">
        <v>45566</v>
      </c>
      <c r="D695" t="inlineStr">
        <is>
          <t>Amira Mostafa</t>
        </is>
      </c>
      <c r="E695" t="n">
        <v>72</v>
      </c>
      <c r="F695" t="n">
        <v>3871</v>
      </c>
      <c r="G695" t="n">
        <v>3667</v>
      </c>
      <c r="H695" s="23" t="n">
        <v>278712</v>
      </c>
      <c r="I695" s="23" t="n">
        <v>264024</v>
      </c>
      <c r="J695" t="inlineStr">
        <is>
          <t>Oct</t>
        </is>
      </c>
      <c r="K695" t="n">
        <v>10</v>
      </c>
      <c r="L695" t="inlineStr">
        <is>
          <t>Q4</t>
        </is>
      </c>
      <c r="M695" t="n">
        <v>2024</v>
      </c>
      <c r="N695" s="22" t="n">
        <v>45566</v>
      </c>
      <c r="O695" s="24" t="n">
        <v>1.055631306244887</v>
      </c>
      <c r="P695" s="23" t="n">
        <v>14688</v>
      </c>
    </row>
    <row r="696">
      <c r="A696" t="inlineStr">
        <is>
          <t>Concor 5 MG</t>
        </is>
      </c>
      <c r="B696" t="inlineStr">
        <is>
          <t>Alexandria 2</t>
        </is>
      </c>
      <c r="C696" s="22" t="n">
        <v>45597</v>
      </c>
      <c r="D696" t="inlineStr">
        <is>
          <t>Amira Mostafa</t>
        </is>
      </c>
      <c r="E696" t="n">
        <v>72</v>
      </c>
      <c r="F696" t="n">
        <v>2402</v>
      </c>
      <c r="G696" t="n">
        <v>2442</v>
      </c>
      <c r="H696" s="23" t="n">
        <v>172944</v>
      </c>
      <c r="I696" s="23" t="n">
        <v>175824</v>
      </c>
      <c r="J696" t="inlineStr">
        <is>
          <t>Nov</t>
        </is>
      </c>
      <c r="K696" t="n">
        <v>11</v>
      </c>
      <c r="L696" t="inlineStr">
        <is>
          <t>Q4</t>
        </is>
      </c>
      <c r="M696" t="n">
        <v>2024</v>
      </c>
      <c r="N696" s="22" t="n">
        <v>45597</v>
      </c>
      <c r="O696" s="24" t="n">
        <v>0.9836199836199836</v>
      </c>
      <c r="P696" s="23" t="n">
        <v>-2880</v>
      </c>
    </row>
    <row r="697">
      <c r="A697" t="inlineStr">
        <is>
          <t>Concor 5 MG</t>
        </is>
      </c>
      <c r="B697" t="inlineStr">
        <is>
          <t>Alexandria 2</t>
        </is>
      </c>
      <c r="C697" s="22" t="n">
        <v>45627</v>
      </c>
      <c r="D697" t="inlineStr">
        <is>
          <t>Amira Mostafa</t>
        </is>
      </c>
      <c r="E697" t="n">
        <v>72</v>
      </c>
      <c r="F697" t="n">
        <v>1881</v>
      </c>
      <c r="G697" t="n">
        <v>2164</v>
      </c>
      <c r="H697" s="23" t="n">
        <v>135432</v>
      </c>
      <c r="I697" s="23" t="n">
        <v>155808</v>
      </c>
      <c r="J697" t="inlineStr">
        <is>
          <t>Dec</t>
        </is>
      </c>
      <c r="K697" t="n">
        <v>12</v>
      </c>
      <c r="L697" t="inlineStr">
        <is>
          <t>Q4</t>
        </is>
      </c>
      <c r="M697" t="n">
        <v>2024</v>
      </c>
      <c r="N697" s="22" t="n">
        <v>45627</v>
      </c>
      <c r="O697" s="24" t="n">
        <v>0.8692236598890942</v>
      </c>
      <c r="P697" s="23" t="n">
        <v>-20376</v>
      </c>
    </row>
    <row r="698">
      <c r="A698" t="inlineStr">
        <is>
          <t>Concor 5 MG</t>
        </is>
      </c>
      <c r="B698" t="inlineStr">
        <is>
          <t>Cairo 1</t>
        </is>
      </c>
      <c r="C698" s="22" t="n">
        <v>45292</v>
      </c>
      <c r="D698" t="inlineStr">
        <is>
          <t>Fatma Ali</t>
        </is>
      </c>
      <c r="E698" t="n">
        <v>72</v>
      </c>
      <c r="F698" t="n">
        <v>2155</v>
      </c>
      <c r="G698" t="n">
        <v>2497</v>
      </c>
      <c r="H698" s="23" t="n">
        <v>155160</v>
      </c>
      <c r="I698" s="23" t="n">
        <v>179784</v>
      </c>
      <c r="J698" t="inlineStr">
        <is>
          <t>Jan</t>
        </is>
      </c>
      <c r="K698" t="n">
        <v>1</v>
      </c>
      <c r="L698" t="inlineStr">
        <is>
          <t>Q1</t>
        </is>
      </c>
      <c r="M698" t="n">
        <v>2024</v>
      </c>
      <c r="N698" s="22" t="n">
        <v>45292</v>
      </c>
      <c r="O698" s="24" t="n">
        <v>0.8630356427713256</v>
      </c>
      <c r="P698" s="23" t="n">
        <v>-24624</v>
      </c>
    </row>
    <row r="699">
      <c r="A699" t="inlineStr">
        <is>
          <t>Concor 5 MG</t>
        </is>
      </c>
      <c r="B699" t="inlineStr">
        <is>
          <t>Cairo 1</t>
        </is>
      </c>
      <c r="C699" s="22" t="n">
        <v>45323</v>
      </c>
      <c r="D699" t="inlineStr">
        <is>
          <t>Fatma Ali</t>
        </is>
      </c>
      <c r="E699" t="n">
        <v>72</v>
      </c>
      <c r="F699" t="n">
        <v>3450</v>
      </c>
      <c r="G699" t="n">
        <v>3357</v>
      </c>
      <c r="H699" s="23" t="n">
        <v>248400</v>
      </c>
      <c r="I699" s="23" t="n">
        <v>241704</v>
      </c>
      <c r="J699" t="inlineStr">
        <is>
          <t>Feb</t>
        </is>
      </c>
      <c r="K699" t="n">
        <v>2</v>
      </c>
      <c r="L699" t="inlineStr">
        <is>
          <t>Q1</t>
        </is>
      </c>
      <c r="M699" t="n">
        <v>2024</v>
      </c>
      <c r="N699" s="22" t="n">
        <v>45323</v>
      </c>
      <c r="O699" s="24" t="n">
        <v>1.027703306523682</v>
      </c>
      <c r="P699" s="23" t="n">
        <v>6696</v>
      </c>
    </row>
    <row r="700">
      <c r="A700" t="inlineStr">
        <is>
          <t>Concor 5 MG</t>
        </is>
      </c>
      <c r="B700" t="inlineStr">
        <is>
          <t>Cairo 1</t>
        </is>
      </c>
      <c r="C700" s="22" t="n">
        <v>45352</v>
      </c>
      <c r="D700" t="inlineStr">
        <is>
          <t>Fatma Ali</t>
        </is>
      </c>
      <c r="E700" t="n">
        <v>72</v>
      </c>
      <c r="F700" t="n">
        <v>3155</v>
      </c>
      <c r="G700" t="n">
        <v>3482</v>
      </c>
      <c r="H700" s="23" t="n">
        <v>227160</v>
      </c>
      <c r="I700" s="23" t="n">
        <v>250704</v>
      </c>
      <c r="J700" t="inlineStr">
        <is>
          <t>Mar</t>
        </is>
      </c>
      <c r="K700" t="n">
        <v>3</v>
      </c>
      <c r="L700" t="inlineStr">
        <is>
          <t>Q1</t>
        </is>
      </c>
      <c r="M700" t="n">
        <v>2024</v>
      </c>
      <c r="N700" s="22" t="n">
        <v>45352</v>
      </c>
      <c r="O700" s="24" t="n">
        <v>0.9060884549109707</v>
      </c>
      <c r="P700" s="23" t="n">
        <v>-23544</v>
      </c>
    </row>
    <row r="701">
      <c r="A701" t="inlineStr">
        <is>
          <t>Concor 5 MG</t>
        </is>
      </c>
      <c r="B701" t="inlineStr">
        <is>
          <t>Cairo 1</t>
        </is>
      </c>
      <c r="C701" s="22" t="n">
        <v>45383</v>
      </c>
      <c r="D701" t="inlineStr">
        <is>
          <t>Fatma Ali</t>
        </is>
      </c>
      <c r="E701" t="n">
        <v>72</v>
      </c>
      <c r="F701" t="n">
        <v>3440</v>
      </c>
      <c r="G701" t="n">
        <v>3708</v>
      </c>
      <c r="H701" s="23" t="n">
        <v>247680</v>
      </c>
      <c r="I701" s="23" t="n">
        <v>266976</v>
      </c>
      <c r="J701" t="inlineStr">
        <is>
          <t>Apr</t>
        </is>
      </c>
      <c r="K701" t="n">
        <v>4</v>
      </c>
      <c r="L701" t="inlineStr">
        <is>
          <t>Q2</t>
        </is>
      </c>
      <c r="M701" t="n">
        <v>2024</v>
      </c>
      <c r="N701" s="22" t="n">
        <v>45383</v>
      </c>
      <c r="O701" s="24" t="n">
        <v>0.9277238403451996</v>
      </c>
      <c r="P701" s="23" t="n">
        <v>-19296</v>
      </c>
    </row>
    <row r="702">
      <c r="A702" t="inlineStr">
        <is>
          <t>Concor 5 MG</t>
        </is>
      </c>
      <c r="B702" t="inlineStr">
        <is>
          <t>Cairo 1</t>
        </is>
      </c>
      <c r="C702" s="22" t="n">
        <v>45413</v>
      </c>
      <c r="D702" t="inlineStr">
        <is>
          <t>Fatma Ali</t>
        </is>
      </c>
      <c r="E702" t="n">
        <v>72</v>
      </c>
      <c r="F702" t="n">
        <v>2947</v>
      </c>
      <c r="G702" t="n">
        <v>3177</v>
      </c>
      <c r="H702" s="23" t="n">
        <v>212184</v>
      </c>
      <c r="I702" s="23" t="n">
        <v>228744</v>
      </c>
      <c r="J702" t="inlineStr">
        <is>
          <t>May</t>
        </is>
      </c>
      <c r="K702" t="n">
        <v>5</v>
      </c>
      <c r="L702" t="inlineStr">
        <is>
          <t>Q2</t>
        </is>
      </c>
      <c r="M702" t="n">
        <v>2024</v>
      </c>
      <c r="N702" s="22" t="n">
        <v>45413</v>
      </c>
      <c r="O702" s="24" t="n">
        <v>0.9276046584828455</v>
      </c>
      <c r="P702" s="23" t="n">
        <v>-16560</v>
      </c>
    </row>
    <row r="703">
      <c r="A703" t="inlineStr">
        <is>
          <t>Concor 5 MG</t>
        </is>
      </c>
      <c r="B703" t="inlineStr">
        <is>
          <t>Cairo 1</t>
        </is>
      </c>
      <c r="C703" s="22" t="n">
        <v>45444</v>
      </c>
      <c r="D703" t="inlineStr">
        <is>
          <t>Fatma Ali</t>
        </is>
      </c>
      <c r="E703" t="n">
        <v>72</v>
      </c>
      <c r="F703" t="n">
        <v>2602</v>
      </c>
      <c r="G703" t="n">
        <v>2672</v>
      </c>
      <c r="H703" s="23" t="n">
        <v>187344</v>
      </c>
      <c r="I703" s="23" t="n">
        <v>192384</v>
      </c>
      <c r="J703" t="inlineStr">
        <is>
          <t>Jun</t>
        </is>
      </c>
      <c r="K703" t="n">
        <v>6</v>
      </c>
      <c r="L703" t="inlineStr">
        <is>
          <t>Q2</t>
        </is>
      </c>
      <c r="M703" t="n">
        <v>2024</v>
      </c>
      <c r="N703" s="22" t="n">
        <v>45444</v>
      </c>
      <c r="O703" s="24" t="n">
        <v>0.9738023952095808</v>
      </c>
      <c r="P703" s="23" t="n">
        <v>-5040</v>
      </c>
    </row>
    <row r="704">
      <c r="A704" t="inlineStr">
        <is>
          <t>Concor 5 MG</t>
        </is>
      </c>
      <c r="B704" t="inlineStr">
        <is>
          <t>Cairo 1</t>
        </is>
      </c>
      <c r="C704" s="22" t="n">
        <v>45474</v>
      </c>
      <c r="D704" t="inlineStr">
        <is>
          <t>Fatma Ali</t>
        </is>
      </c>
      <c r="E704" t="n">
        <v>72</v>
      </c>
      <c r="F704" t="n">
        <v>2450</v>
      </c>
      <c r="G704" t="n">
        <v>3681</v>
      </c>
      <c r="H704" s="23" t="n">
        <v>176400</v>
      </c>
      <c r="I704" s="23" t="n">
        <v>265032</v>
      </c>
      <c r="J704" t="inlineStr">
        <is>
          <t>Jul</t>
        </is>
      </c>
      <c r="K704" t="n">
        <v>7</v>
      </c>
      <c r="L704" t="inlineStr">
        <is>
          <t>Q3</t>
        </is>
      </c>
      <c r="M704" t="n">
        <v>2024</v>
      </c>
      <c r="N704" s="22" t="n">
        <v>45474</v>
      </c>
      <c r="O704" s="24" t="n">
        <v>0.6655800054333062</v>
      </c>
      <c r="P704" s="23" t="n">
        <v>-88632</v>
      </c>
    </row>
    <row r="705">
      <c r="A705" t="inlineStr">
        <is>
          <t>Concor 5 MG</t>
        </is>
      </c>
      <c r="B705" t="inlineStr">
        <is>
          <t>Cairo 1</t>
        </is>
      </c>
      <c r="C705" s="22" t="n">
        <v>45505</v>
      </c>
      <c r="D705" t="inlineStr">
        <is>
          <t>Fatma Ali</t>
        </is>
      </c>
      <c r="E705" t="n">
        <v>72</v>
      </c>
      <c r="F705" t="n">
        <v>2310</v>
      </c>
      <c r="G705" t="n">
        <v>2352</v>
      </c>
      <c r="H705" s="23" t="n">
        <v>166320</v>
      </c>
      <c r="I705" s="23" t="n">
        <v>169344</v>
      </c>
      <c r="J705" t="inlineStr">
        <is>
          <t>Aug</t>
        </is>
      </c>
      <c r="K705" t="n">
        <v>8</v>
      </c>
      <c r="L705" t="inlineStr">
        <is>
          <t>Q3</t>
        </is>
      </c>
      <c r="M705" t="n">
        <v>2024</v>
      </c>
      <c r="N705" s="22" t="n">
        <v>45505</v>
      </c>
      <c r="O705" s="24" t="n">
        <v>0.9821428571428571</v>
      </c>
      <c r="P705" s="23" t="n">
        <v>-3024</v>
      </c>
    </row>
    <row r="706">
      <c r="A706" t="inlineStr">
        <is>
          <t>Concor 5 MG</t>
        </is>
      </c>
      <c r="B706" t="inlineStr">
        <is>
          <t>Cairo 1</t>
        </is>
      </c>
      <c r="C706" s="22" t="n">
        <v>45536</v>
      </c>
      <c r="D706" t="inlineStr">
        <is>
          <t>Fatma Ali</t>
        </is>
      </c>
      <c r="E706" t="n">
        <v>72</v>
      </c>
      <c r="F706" t="n">
        <v>1970</v>
      </c>
      <c r="G706" t="n">
        <v>2066</v>
      </c>
      <c r="H706" s="23" t="n">
        <v>141840</v>
      </c>
      <c r="I706" s="23" t="n">
        <v>148752</v>
      </c>
      <c r="J706" t="inlineStr">
        <is>
          <t>Sep</t>
        </is>
      </c>
      <c r="K706" t="n">
        <v>9</v>
      </c>
      <c r="L706" t="inlineStr">
        <is>
          <t>Q3</t>
        </is>
      </c>
      <c r="M706" t="n">
        <v>2024</v>
      </c>
      <c r="N706" s="22" t="n">
        <v>45536</v>
      </c>
      <c r="O706" s="24" t="n">
        <v>0.9535333978702807</v>
      </c>
      <c r="P706" s="23" t="n">
        <v>-6912</v>
      </c>
    </row>
    <row r="707">
      <c r="A707" t="inlineStr">
        <is>
          <t>Concor 5 MG</t>
        </is>
      </c>
      <c r="B707" t="inlineStr">
        <is>
          <t>Cairo 1</t>
        </is>
      </c>
      <c r="C707" s="22" t="n">
        <v>45566</v>
      </c>
      <c r="D707" t="inlineStr">
        <is>
          <t>Fatma Ali</t>
        </is>
      </c>
      <c r="E707" t="n">
        <v>72</v>
      </c>
      <c r="F707" t="n">
        <v>3500</v>
      </c>
      <c r="G707" t="n">
        <v>3868</v>
      </c>
      <c r="H707" s="23" t="n">
        <v>252000</v>
      </c>
      <c r="I707" s="23" t="n">
        <v>278496</v>
      </c>
      <c r="J707" t="inlineStr">
        <is>
          <t>Oct</t>
        </is>
      </c>
      <c r="K707" t="n">
        <v>10</v>
      </c>
      <c r="L707" t="inlineStr">
        <is>
          <t>Q4</t>
        </is>
      </c>
      <c r="M707" t="n">
        <v>2024</v>
      </c>
      <c r="N707" s="22" t="n">
        <v>45566</v>
      </c>
      <c r="O707" s="24" t="n">
        <v>0.9048603929679421</v>
      </c>
      <c r="P707" s="23" t="n">
        <v>-26496</v>
      </c>
    </row>
    <row r="708">
      <c r="A708" t="inlineStr">
        <is>
          <t>Concor 5 MG</t>
        </is>
      </c>
      <c r="B708" t="inlineStr">
        <is>
          <t>Cairo 1</t>
        </is>
      </c>
      <c r="C708" s="22" t="n">
        <v>45597</v>
      </c>
      <c r="D708" t="inlineStr">
        <is>
          <t>Fatma Ali</t>
        </is>
      </c>
      <c r="E708" t="n">
        <v>72</v>
      </c>
      <c r="F708" t="n">
        <v>2472</v>
      </c>
      <c r="G708" t="n">
        <v>2626</v>
      </c>
      <c r="H708" s="23" t="n">
        <v>177984</v>
      </c>
      <c r="I708" s="23" t="n">
        <v>189072</v>
      </c>
      <c r="J708" t="inlineStr">
        <is>
          <t>Nov</t>
        </is>
      </c>
      <c r="K708" t="n">
        <v>11</v>
      </c>
      <c r="L708" t="inlineStr">
        <is>
          <t>Q4</t>
        </is>
      </c>
      <c r="M708" t="n">
        <v>2024</v>
      </c>
      <c r="N708" s="22" t="n">
        <v>45597</v>
      </c>
      <c r="O708" s="24" t="n">
        <v>0.9413556740289414</v>
      </c>
      <c r="P708" s="23" t="n">
        <v>-11088</v>
      </c>
    </row>
    <row r="709">
      <c r="A709" t="inlineStr">
        <is>
          <t>Concor 5 MG</t>
        </is>
      </c>
      <c r="B709" t="inlineStr">
        <is>
          <t>Cairo 1</t>
        </is>
      </c>
      <c r="C709" s="22" t="n">
        <v>45627</v>
      </c>
      <c r="D709" t="inlineStr">
        <is>
          <t>Fatma Ali</t>
        </is>
      </c>
      <c r="E709" t="n">
        <v>72</v>
      </c>
      <c r="F709" t="n">
        <v>2181</v>
      </c>
      <c r="G709" t="n">
        <v>2508</v>
      </c>
      <c r="H709" s="23" t="n">
        <v>157032</v>
      </c>
      <c r="I709" s="23" t="n">
        <v>180576</v>
      </c>
      <c r="J709" t="inlineStr">
        <is>
          <t>Dec</t>
        </is>
      </c>
      <c r="K709" t="n">
        <v>12</v>
      </c>
      <c r="L709" t="inlineStr">
        <is>
          <t>Q4</t>
        </is>
      </c>
      <c r="M709" t="n">
        <v>2024</v>
      </c>
      <c r="N709" s="22" t="n">
        <v>45627</v>
      </c>
      <c r="O709" s="24" t="n">
        <v>0.8696172248803827</v>
      </c>
      <c r="P709" s="23" t="n">
        <v>-23544</v>
      </c>
    </row>
    <row r="710">
      <c r="A710" t="inlineStr">
        <is>
          <t>Concor 5 MG</t>
        </is>
      </c>
      <c r="B710" t="inlineStr">
        <is>
          <t>Cairo 2</t>
        </is>
      </c>
      <c r="C710" s="22" t="n">
        <v>45292</v>
      </c>
      <c r="D710" t="inlineStr">
        <is>
          <t>Hassan El-Shamy</t>
        </is>
      </c>
      <c r="E710" t="n">
        <v>72</v>
      </c>
      <c r="F710" t="n">
        <v>2793</v>
      </c>
      <c r="G710" t="n">
        <v>2604</v>
      </c>
      <c r="H710" s="23" t="n">
        <v>201096</v>
      </c>
      <c r="I710" s="23" t="n">
        <v>187488</v>
      </c>
      <c r="J710" t="inlineStr">
        <is>
          <t>Jan</t>
        </is>
      </c>
      <c r="K710" t="n">
        <v>1</v>
      </c>
      <c r="L710" t="inlineStr">
        <is>
          <t>Q1</t>
        </is>
      </c>
      <c r="M710" t="n">
        <v>2024</v>
      </c>
      <c r="N710" s="22" t="n">
        <v>45292</v>
      </c>
      <c r="O710" s="24" t="n">
        <v>1.07258064516129</v>
      </c>
      <c r="P710" s="23" t="n">
        <v>13608</v>
      </c>
    </row>
    <row r="711">
      <c r="A711" t="inlineStr">
        <is>
          <t>Concor 5 MG</t>
        </is>
      </c>
      <c r="B711" t="inlineStr">
        <is>
          <t>Cairo 2</t>
        </is>
      </c>
      <c r="C711" s="22" t="n">
        <v>45323</v>
      </c>
      <c r="D711" t="inlineStr">
        <is>
          <t>Hassan El-Shamy</t>
        </is>
      </c>
      <c r="E711" t="n">
        <v>72</v>
      </c>
      <c r="F711" t="n">
        <v>3170</v>
      </c>
      <c r="G711" t="n">
        <v>2950</v>
      </c>
      <c r="H711" s="23" t="n">
        <v>228240</v>
      </c>
      <c r="I711" s="23" t="n">
        <v>212400</v>
      </c>
      <c r="J711" t="inlineStr">
        <is>
          <t>Feb</t>
        </is>
      </c>
      <c r="K711" t="n">
        <v>2</v>
      </c>
      <c r="L711" t="inlineStr">
        <is>
          <t>Q1</t>
        </is>
      </c>
      <c r="M711" t="n">
        <v>2024</v>
      </c>
      <c r="N711" s="22" t="n">
        <v>45323</v>
      </c>
      <c r="O711" s="24" t="n">
        <v>1.074576271186441</v>
      </c>
      <c r="P711" s="23" t="n">
        <v>15840</v>
      </c>
    </row>
    <row r="712">
      <c r="A712" t="inlineStr">
        <is>
          <t>Concor 5 MG</t>
        </is>
      </c>
      <c r="B712" t="inlineStr">
        <is>
          <t>Cairo 2</t>
        </is>
      </c>
      <c r="C712" s="22" t="n">
        <v>45352</v>
      </c>
      <c r="D712" t="inlineStr">
        <is>
          <t>Hassan El-Shamy</t>
        </is>
      </c>
      <c r="E712" t="n">
        <v>72</v>
      </c>
      <c r="F712" t="n">
        <v>2450</v>
      </c>
      <c r="G712" t="n">
        <v>2866</v>
      </c>
      <c r="H712" s="23" t="n">
        <v>176400</v>
      </c>
      <c r="I712" s="23" t="n">
        <v>206352</v>
      </c>
      <c r="J712" t="inlineStr">
        <is>
          <t>Mar</t>
        </is>
      </c>
      <c r="K712" t="n">
        <v>3</v>
      </c>
      <c r="L712" t="inlineStr">
        <is>
          <t>Q1</t>
        </is>
      </c>
      <c r="M712" t="n">
        <v>2024</v>
      </c>
      <c r="N712" s="22" t="n">
        <v>45352</v>
      </c>
      <c r="O712" s="24" t="n">
        <v>0.8548499651081647</v>
      </c>
      <c r="P712" s="23" t="n">
        <v>-29952</v>
      </c>
    </row>
    <row r="713">
      <c r="A713" t="inlineStr">
        <is>
          <t>Concor 5 MG</t>
        </is>
      </c>
      <c r="B713" t="inlineStr">
        <is>
          <t>Cairo 2</t>
        </is>
      </c>
      <c r="C713" s="22" t="n">
        <v>45383</v>
      </c>
      <c r="D713" t="inlineStr">
        <is>
          <t>Hassan El-Shamy</t>
        </is>
      </c>
      <c r="E713" t="n">
        <v>72</v>
      </c>
      <c r="F713" t="n">
        <v>3500</v>
      </c>
      <c r="G713" t="n">
        <v>3125</v>
      </c>
      <c r="H713" s="23" t="n">
        <v>252000</v>
      </c>
      <c r="I713" s="23" t="n">
        <v>225000</v>
      </c>
      <c r="J713" t="inlineStr">
        <is>
          <t>Apr</t>
        </is>
      </c>
      <c r="K713" t="n">
        <v>4</v>
      </c>
      <c r="L713" t="inlineStr">
        <is>
          <t>Q2</t>
        </is>
      </c>
      <c r="M713" t="n">
        <v>2024</v>
      </c>
      <c r="N713" s="22" t="n">
        <v>45383</v>
      </c>
      <c r="O713" s="24" t="n">
        <v>1.12</v>
      </c>
      <c r="P713" s="23" t="n">
        <v>27000</v>
      </c>
    </row>
    <row r="714">
      <c r="A714" t="inlineStr">
        <is>
          <t>Concor 5 MG</t>
        </is>
      </c>
      <c r="B714" t="inlineStr">
        <is>
          <t>Cairo 2</t>
        </is>
      </c>
      <c r="C714" s="22" t="n">
        <v>45413</v>
      </c>
      <c r="D714" t="inlineStr">
        <is>
          <t>Hassan El-Shamy</t>
        </is>
      </c>
      <c r="E714" t="n">
        <v>72</v>
      </c>
      <c r="F714" t="n">
        <v>3173</v>
      </c>
      <c r="G714" t="n">
        <v>3517</v>
      </c>
      <c r="H714" s="23" t="n">
        <v>228456</v>
      </c>
      <c r="I714" s="23" t="n">
        <v>253224</v>
      </c>
      <c r="J714" t="inlineStr">
        <is>
          <t>May</t>
        </is>
      </c>
      <c r="K714" t="n">
        <v>5</v>
      </c>
      <c r="L714" t="inlineStr">
        <is>
          <t>Q2</t>
        </is>
      </c>
      <c r="M714" t="n">
        <v>2024</v>
      </c>
      <c r="N714" s="22" t="n">
        <v>45413</v>
      </c>
      <c r="O714" s="24" t="n">
        <v>0.902189365936878</v>
      </c>
      <c r="P714" s="23" t="n">
        <v>-24768</v>
      </c>
    </row>
    <row r="715">
      <c r="A715" t="inlineStr">
        <is>
          <t>Concor 5 MG</t>
        </is>
      </c>
      <c r="B715" t="inlineStr">
        <is>
          <t>Cairo 2</t>
        </is>
      </c>
      <c r="C715" s="22" t="n">
        <v>45444</v>
      </c>
      <c r="D715" t="inlineStr">
        <is>
          <t>Hassan El-Shamy</t>
        </is>
      </c>
      <c r="E715" t="n">
        <v>72</v>
      </c>
      <c r="F715" t="n">
        <v>3119</v>
      </c>
      <c r="G715" t="n">
        <v>3476</v>
      </c>
      <c r="H715" s="23" t="n">
        <v>224568</v>
      </c>
      <c r="I715" s="23" t="n">
        <v>250272</v>
      </c>
      <c r="J715" t="inlineStr">
        <is>
          <t>Jun</t>
        </is>
      </c>
      <c r="K715" t="n">
        <v>6</v>
      </c>
      <c r="L715" t="inlineStr">
        <is>
          <t>Q2</t>
        </is>
      </c>
      <c r="M715" t="n">
        <v>2024</v>
      </c>
      <c r="N715" s="22" t="n">
        <v>45444</v>
      </c>
      <c r="O715" s="24" t="n">
        <v>0.8972957422324511</v>
      </c>
      <c r="P715" s="23" t="n">
        <v>-25704</v>
      </c>
    </row>
    <row r="716">
      <c r="A716" t="inlineStr">
        <is>
          <t>Concor 5 MG</t>
        </is>
      </c>
      <c r="B716" t="inlineStr">
        <is>
          <t>Cairo 2</t>
        </is>
      </c>
      <c r="C716" s="22" t="n">
        <v>45474</v>
      </c>
      <c r="D716" t="inlineStr">
        <is>
          <t>Hassan El-Shamy</t>
        </is>
      </c>
      <c r="E716" t="n">
        <v>72</v>
      </c>
      <c r="F716" t="n">
        <v>2202</v>
      </c>
      <c r="G716" t="n">
        <v>2411</v>
      </c>
      <c r="H716" s="23" t="n">
        <v>158544</v>
      </c>
      <c r="I716" s="23" t="n">
        <v>173592</v>
      </c>
      <c r="J716" t="inlineStr">
        <is>
          <t>Jul</t>
        </is>
      </c>
      <c r="K716" t="n">
        <v>7</v>
      </c>
      <c r="L716" t="inlineStr">
        <is>
          <t>Q3</t>
        </is>
      </c>
      <c r="M716" t="n">
        <v>2024</v>
      </c>
      <c r="N716" s="22" t="n">
        <v>45474</v>
      </c>
      <c r="O716" s="24" t="n">
        <v>0.9133139776026545</v>
      </c>
      <c r="P716" s="23" t="n">
        <v>-15048</v>
      </c>
    </row>
    <row r="717">
      <c r="A717" t="inlineStr">
        <is>
          <t>Concor 5 MG</t>
        </is>
      </c>
      <c r="B717" t="inlineStr">
        <is>
          <t>Cairo 2</t>
        </is>
      </c>
      <c r="C717" s="22" t="n">
        <v>45505</v>
      </c>
      <c r="D717" t="inlineStr">
        <is>
          <t>Hassan El-Shamy</t>
        </is>
      </c>
      <c r="E717" t="n">
        <v>72</v>
      </c>
      <c r="F717" t="n">
        <v>2912</v>
      </c>
      <c r="G717" t="n">
        <v>2712</v>
      </c>
      <c r="H717" s="23" t="n">
        <v>209664</v>
      </c>
      <c r="I717" s="23" t="n">
        <v>195264</v>
      </c>
      <c r="J717" t="inlineStr">
        <is>
          <t>Aug</t>
        </is>
      </c>
      <c r="K717" t="n">
        <v>8</v>
      </c>
      <c r="L717" t="inlineStr">
        <is>
          <t>Q3</t>
        </is>
      </c>
      <c r="M717" t="n">
        <v>2024</v>
      </c>
      <c r="N717" s="22" t="n">
        <v>45505</v>
      </c>
      <c r="O717" s="24" t="n">
        <v>1.073746312684366</v>
      </c>
      <c r="P717" s="23" t="n">
        <v>14400</v>
      </c>
    </row>
    <row r="718">
      <c r="A718" t="inlineStr">
        <is>
          <t>Concor 5 MG</t>
        </is>
      </c>
      <c r="B718" t="inlineStr">
        <is>
          <t>Cairo 2</t>
        </is>
      </c>
      <c r="C718" s="22" t="n">
        <v>45536</v>
      </c>
      <c r="D718" t="inlineStr">
        <is>
          <t>Hassan El-Shamy</t>
        </is>
      </c>
      <c r="E718" t="n">
        <v>72</v>
      </c>
      <c r="F718" t="n">
        <v>2350</v>
      </c>
      <c r="G718" t="n">
        <v>3125</v>
      </c>
      <c r="H718" s="23" t="n">
        <v>169200</v>
      </c>
      <c r="I718" s="23" t="n">
        <v>225000</v>
      </c>
      <c r="J718" t="inlineStr">
        <is>
          <t>Sep</t>
        </is>
      </c>
      <c r="K718" t="n">
        <v>9</v>
      </c>
      <c r="L718" t="inlineStr">
        <is>
          <t>Q3</t>
        </is>
      </c>
      <c r="M718" t="n">
        <v>2024</v>
      </c>
      <c r="N718" s="22" t="n">
        <v>45536</v>
      </c>
      <c r="O718" s="24" t="n">
        <v>0.752</v>
      </c>
      <c r="P718" s="23" t="n">
        <v>-55800</v>
      </c>
    </row>
    <row r="719">
      <c r="A719" t="inlineStr">
        <is>
          <t>Concor 5 MG</t>
        </is>
      </c>
      <c r="B719" t="inlineStr">
        <is>
          <t>Cairo 2</t>
        </is>
      </c>
      <c r="C719" s="22" t="n">
        <v>45566</v>
      </c>
      <c r="D719" t="inlineStr">
        <is>
          <t>Hassan El-Shamy</t>
        </is>
      </c>
      <c r="E719" t="n">
        <v>72</v>
      </c>
      <c r="F719" t="n">
        <v>3208</v>
      </c>
      <c r="G719" t="n">
        <v>3053</v>
      </c>
      <c r="H719" s="23" t="n">
        <v>230976</v>
      </c>
      <c r="I719" s="23" t="n">
        <v>219816</v>
      </c>
      <c r="J719" t="inlineStr">
        <is>
          <t>Oct</t>
        </is>
      </c>
      <c r="K719" t="n">
        <v>10</v>
      </c>
      <c r="L719" t="inlineStr">
        <is>
          <t>Q4</t>
        </is>
      </c>
      <c r="M719" t="n">
        <v>2024</v>
      </c>
      <c r="N719" s="22" t="n">
        <v>45566</v>
      </c>
      <c r="O719" s="24" t="n">
        <v>1.050769734687193</v>
      </c>
      <c r="P719" s="23" t="n">
        <v>11160</v>
      </c>
    </row>
    <row r="720">
      <c r="A720" t="inlineStr">
        <is>
          <t>Concor 5 MG</t>
        </is>
      </c>
      <c r="B720" t="inlineStr">
        <is>
          <t>Cairo 2</t>
        </is>
      </c>
      <c r="C720" s="22" t="n">
        <v>45597</v>
      </c>
      <c r="D720" t="inlineStr">
        <is>
          <t>Hassan El-Shamy</t>
        </is>
      </c>
      <c r="E720" t="n">
        <v>72</v>
      </c>
      <c r="F720" t="n">
        <v>2109</v>
      </c>
      <c r="G720" t="n">
        <v>2439</v>
      </c>
      <c r="H720" s="23" t="n">
        <v>151848</v>
      </c>
      <c r="I720" s="23" t="n">
        <v>175608</v>
      </c>
      <c r="J720" t="inlineStr">
        <is>
          <t>Nov</t>
        </is>
      </c>
      <c r="K720" t="n">
        <v>11</v>
      </c>
      <c r="L720" t="inlineStr">
        <is>
          <t>Q4</t>
        </is>
      </c>
      <c r="M720" t="n">
        <v>2024</v>
      </c>
      <c r="N720" s="22" t="n">
        <v>45597</v>
      </c>
      <c r="O720" s="24" t="n">
        <v>0.8646986469864698</v>
      </c>
      <c r="P720" s="23" t="n">
        <v>-23760</v>
      </c>
    </row>
    <row r="721">
      <c r="A721" t="inlineStr">
        <is>
          <t>Concor 5 MG</t>
        </is>
      </c>
      <c r="B721" t="inlineStr">
        <is>
          <t>Cairo 2</t>
        </is>
      </c>
      <c r="C721" s="22" t="n">
        <v>45627</v>
      </c>
      <c r="D721" t="inlineStr">
        <is>
          <t>Hassan El-Shamy</t>
        </is>
      </c>
      <c r="E721" t="n">
        <v>72</v>
      </c>
      <c r="F721" t="n">
        <v>3700</v>
      </c>
      <c r="G721" t="n">
        <v>3829</v>
      </c>
      <c r="H721" s="23" t="n">
        <v>266400</v>
      </c>
      <c r="I721" s="23" t="n">
        <v>275688</v>
      </c>
      <c r="J721" t="inlineStr">
        <is>
          <t>Dec</t>
        </is>
      </c>
      <c r="K721" t="n">
        <v>12</v>
      </c>
      <c r="L721" t="inlineStr">
        <is>
          <t>Q4</t>
        </is>
      </c>
      <c r="M721" t="n">
        <v>2024</v>
      </c>
      <c r="N721" s="22" t="n">
        <v>45627</v>
      </c>
      <c r="O721" s="24" t="n">
        <v>0.966309741446853</v>
      </c>
      <c r="P721" s="23" t="n">
        <v>-9288</v>
      </c>
    </row>
    <row r="722">
      <c r="A722" t="inlineStr">
        <is>
          <t>Concor 5 MG</t>
        </is>
      </c>
      <c r="B722" t="inlineStr">
        <is>
          <t>Suez</t>
        </is>
      </c>
      <c r="C722" s="22" t="n">
        <v>45292</v>
      </c>
      <c r="D722" t="inlineStr">
        <is>
          <t>Mohamed Mahmoud</t>
        </is>
      </c>
      <c r="E722" t="n">
        <v>72</v>
      </c>
      <c r="F722" t="n">
        <v>2515</v>
      </c>
      <c r="G722" t="n">
        <v>2947</v>
      </c>
      <c r="H722" s="23" t="n">
        <v>181080</v>
      </c>
      <c r="I722" s="23" t="n">
        <v>212184</v>
      </c>
      <c r="J722" t="inlineStr">
        <is>
          <t>Jan</t>
        </is>
      </c>
      <c r="K722" t="n">
        <v>1</v>
      </c>
      <c r="L722" t="inlineStr">
        <is>
          <t>Q1</t>
        </is>
      </c>
      <c r="M722" t="n">
        <v>2024</v>
      </c>
      <c r="N722" s="22" t="n">
        <v>45292</v>
      </c>
      <c r="O722" s="24" t="n">
        <v>0.8534102477095351</v>
      </c>
      <c r="P722" s="23" t="n">
        <v>-31104</v>
      </c>
    </row>
    <row r="723">
      <c r="A723" t="inlineStr">
        <is>
          <t>Concor 5 MG</t>
        </is>
      </c>
      <c r="B723" t="inlineStr">
        <is>
          <t>Suez</t>
        </is>
      </c>
      <c r="C723" s="22" t="n">
        <v>45323</v>
      </c>
      <c r="D723" t="inlineStr">
        <is>
          <t>Mohamed Mahmoud</t>
        </is>
      </c>
      <c r="E723" t="n">
        <v>72</v>
      </c>
      <c r="F723" t="n">
        <v>2942</v>
      </c>
      <c r="G723" t="n">
        <v>2725</v>
      </c>
      <c r="H723" s="23" t="n">
        <v>211824</v>
      </c>
      <c r="I723" s="23" t="n">
        <v>196200</v>
      </c>
      <c r="J723" t="inlineStr">
        <is>
          <t>Feb</t>
        </is>
      </c>
      <c r="K723" t="n">
        <v>2</v>
      </c>
      <c r="L723" t="inlineStr">
        <is>
          <t>Q1</t>
        </is>
      </c>
      <c r="M723" t="n">
        <v>2024</v>
      </c>
      <c r="N723" s="22" t="n">
        <v>45323</v>
      </c>
      <c r="O723" s="24" t="n">
        <v>1.079633027522936</v>
      </c>
      <c r="P723" s="23" t="n">
        <v>15624</v>
      </c>
    </row>
    <row r="724">
      <c r="A724" t="inlineStr">
        <is>
          <t>Concor 5 MG</t>
        </is>
      </c>
      <c r="B724" t="inlineStr">
        <is>
          <t>Suez</t>
        </is>
      </c>
      <c r="C724" s="22" t="n">
        <v>45352</v>
      </c>
      <c r="D724" t="inlineStr">
        <is>
          <t>Mohamed Mahmoud</t>
        </is>
      </c>
      <c r="E724" t="n">
        <v>72</v>
      </c>
      <c r="F724" t="n">
        <v>2825</v>
      </c>
      <c r="G724" t="n">
        <v>3260</v>
      </c>
      <c r="H724" s="23" t="n">
        <v>203400</v>
      </c>
      <c r="I724" s="23" t="n">
        <v>234720</v>
      </c>
      <c r="J724" t="inlineStr">
        <is>
          <t>Mar</t>
        </is>
      </c>
      <c r="K724" t="n">
        <v>3</v>
      </c>
      <c r="L724" t="inlineStr">
        <is>
          <t>Q1</t>
        </is>
      </c>
      <c r="M724" t="n">
        <v>2024</v>
      </c>
      <c r="N724" s="22" t="n">
        <v>45352</v>
      </c>
      <c r="O724" s="24" t="n">
        <v>0.8665644171779141</v>
      </c>
      <c r="P724" s="23" t="n">
        <v>-31320</v>
      </c>
    </row>
    <row r="725">
      <c r="A725" t="inlineStr">
        <is>
          <t>Concor 5 MG</t>
        </is>
      </c>
      <c r="B725" t="inlineStr">
        <is>
          <t>Suez</t>
        </is>
      </c>
      <c r="C725" s="22" t="n">
        <v>45383</v>
      </c>
      <c r="D725" t="inlineStr">
        <is>
          <t>Mohamed Mahmoud</t>
        </is>
      </c>
      <c r="E725" t="n">
        <v>72</v>
      </c>
      <c r="F725" t="n">
        <v>2455</v>
      </c>
      <c r="G725" t="n">
        <v>2600</v>
      </c>
      <c r="H725" s="23" t="n">
        <v>176760</v>
      </c>
      <c r="I725" s="23" t="n">
        <v>187200</v>
      </c>
      <c r="J725" t="inlineStr">
        <is>
          <t>Apr</t>
        </is>
      </c>
      <c r="K725" t="n">
        <v>4</v>
      </c>
      <c r="L725" t="inlineStr">
        <is>
          <t>Q2</t>
        </is>
      </c>
      <c r="M725" t="n">
        <v>2024</v>
      </c>
      <c r="N725" s="22" t="n">
        <v>45383</v>
      </c>
      <c r="O725" s="24" t="n">
        <v>0.9442307692307692</v>
      </c>
      <c r="P725" s="23" t="n">
        <v>-10440</v>
      </c>
    </row>
    <row r="726">
      <c r="A726" t="inlineStr">
        <is>
          <t>Concor 5 MG</t>
        </is>
      </c>
      <c r="B726" t="inlineStr">
        <is>
          <t>Suez</t>
        </is>
      </c>
      <c r="C726" s="22" t="n">
        <v>45413</v>
      </c>
      <c r="D726" t="inlineStr">
        <is>
          <t>Mohamed Mahmoud</t>
        </is>
      </c>
      <c r="E726" t="n">
        <v>72</v>
      </c>
      <c r="F726" t="n">
        <v>3701</v>
      </c>
      <c r="G726" t="n">
        <v>3636</v>
      </c>
      <c r="H726" s="23" t="n">
        <v>266472</v>
      </c>
      <c r="I726" s="23" t="n">
        <v>261792</v>
      </c>
      <c r="J726" t="inlineStr">
        <is>
          <t>May</t>
        </is>
      </c>
      <c r="K726" t="n">
        <v>5</v>
      </c>
      <c r="L726" t="inlineStr">
        <is>
          <t>Q2</t>
        </is>
      </c>
      <c r="M726" t="n">
        <v>2024</v>
      </c>
      <c r="N726" s="22" t="n">
        <v>45413</v>
      </c>
      <c r="O726" s="24" t="n">
        <v>1.017876787678768</v>
      </c>
      <c r="P726" s="23" t="n">
        <v>4680</v>
      </c>
    </row>
    <row r="727">
      <c r="A727" t="inlineStr">
        <is>
          <t>Concor 5 MG</t>
        </is>
      </c>
      <c r="B727" t="inlineStr">
        <is>
          <t>Suez</t>
        </is>
      </c>
      <c r="C727" s="22" t="n">
        <v>45444</v>
      </c>
      <c r="D727" t="inlineStr">
        <is>
          <t>Mohamed Mahmoud</t>
        </is>
      </c>
      <c r="E727" t="n">
        <v>72</v>
      </c>
      <c r="F727" t="n">
        <v>2575</v>
      </c>
      <c r="G727" t="n">
        <v>2601</v>
      </c>
      <c r="H727" s="23" t="n">
        <v>185400</v>
      </c>
      <c r="I727" s="23" t="n">
        <v>187272</v>
      </c>
      <c r="J727" t="inlineStr">
        <is>
          <t>Jun</t>
        </is>
      </c>
      <c r="K727" t="n">
        <v>6</v>
      </c>
      <c r="L727" t="inlineStr">
        <is>
          <t>Q2</t>
        </is>
      </c>
      <c r="M727" t="n">
        <v>2024</v>
      </c>
      <c r="N727" s="22" t="n">
        <v>45444</v>
      </c>
      <c r="O727" s="24" t="n">
        <v>0.9900038446751249</v>
      </c>
      <c r="P727" s="23" t="n">
        <v>-1872</v>
      </c>
    </row>
    <row r="728">
      <c r="A728" t="inlineStr">
        <is>
          <t>Concor 5 MG</t>
        </is>
      </c>
      <c r="B728" t="inlineStr">
        <is>
          <t>Suez</t>
        </is>
      </c>
      <c r="C728" s="22" t="n">
        <v>45474</v>
      </c>
      <c r="D728" t="inlineStr">
        <is>
          <t>Mohamed Mahmoud</t>
        </is>
      </c>
      <c r="E728" t="n">
        <v>72</v>
      </c>
      <c r="F728" t="n">
        <v>2450</v>
      </c>
      <c r="G728" t="n">
        <v>2674</v>
      </c>
      <c r="H728" s="23" t="n">
        <v>176400</v>
      </c>
      <c r="I728" s="23" t="n">
        <v>192528</v>
      </c>
      <c r="J728" t="inlineStr">
        <is>
          <t>Jul</t>
        </is>
      </c>
      <c r="K728" t="n">
        <v>7</v>
      </c>
      <c r="L728" t="inlineStr">
        <is>
          <t>Q3</t>
        </is>
      </c>
      <c r="M728" t="n">
        <v>2024</v>
      </c>
      <c r="N728" s="22" t="n">
        <v>45474</v>
      </c>
      <c r="O728" s="24" t="n">
        <v>0.9162303664921466</v>
      </c>
      <c r="P728" s="23" t="n">
        <v>-16128</v>
      </c>
    </row>
    <row r="729">
      <c r="A729" t="inlineStr">
        <is>
          <t>Concor 5 MG</t>
        </is>
      </c>
      <c r="B729" t="inlineStr">
        <is>
          <t>Suez</t>
        </is>
      </c>
      <c r="C729" s="22" t="n">
        <v>45505</v>
      </c>
      <c r="D729" t="inlineStr">
        <is>
          <t>Mohamed Mahmoud</t>
        </is>
      </c>
      <c r="E729" t="n">
        <v>72</v>
      </c>
      <c r="F729" t="n">
        <v>3482</v>
      </c>
      <c r="G729" t="n">
        <v>3411</v>
      </c>
      <c r="H729" s="23" t="n">
        <v>250704</v>
      </c>
      <c r="I729" s="23" t="n">
        <v>245592</v>
      </c>
      <c r="J729" t="inlineStr">
        <is>
          <t>Aug</t>
        </is>
      </c>
      <c r="K729" t="n">
        <v>8</v>
      </c>
      <c r="L729" t="inlineStr">
        <is>
          <t>Q3</t>
        </is>
      </c>
      <c r="M729" t="n">
        <v>2024</v>
      </c>
      <c r="N729" s="22" t="n">
        <v>45505</v>
      </c>
      <c r="O729" s="24" t="n">
        <v>1.020815010260921</v>
      </c>
      <c r="P729" s="23" t="n">
        <v>5112</v>
      </c>
    </row>
    <row r="730">
      <c r="A730" t="inlineStr">
        <is>
          <t>Concor 5 MG</t>
        </is>
      </c>
      <c r="B730" t="inlineStr">
        <is>
          <t>Suez</t>
        </is>
      </c>
      <c r="C730" s="22" t="n">
        <v>45536</v>
      </c>
      <c r="D730" t="inlineStr">
        <is>
          <t>Mohamed Mahmoud</t>
        </is>
      </c>
      <c r="E730" t="n">
        <v>72</v>
      </c>
      <c r="F730" t="n">
        <v>2262</v>
      </c>
      <c r="G730" t="n">
        <v>2121</v>
      </c>
      <c r="H730" s="23" t="n">
        <v>162864</v>
      </c>
      <c r="I730" s="23" t="n">
        <v>152712</v>
      </c>
      <c r="J730" t="inlineStr">
        <is>
          <t>Sep</t>
        </is>
      </c>
      <c r="K730" t="n">
        <v>9</v>
      </c>
      <c r="L730" t="inlineStr">
        <is>
          <t>Q3</t>
        </is>
      </c>
      <c r="M730" t="n">
        <v>2024</v>
      </c>
      <c r="N730" s="22" t="n">
        <v>45536</v>
      </c>
      <c r="O730" s="24" t="n">
        <v>1.066478076379066</v>
      </c>
      <c r="P730" s="23" t="n">
        <v>10152</v>
      </c>
    </row>
    <row r="731">
      <c r="A731" t="inlineStr">
        <is>
          <t>Concor 5 MG</t>
        </is>
      </c>
      <c r="B731" t="inlineStr">
        <is>
          <t>Suez</t>
        </is>
      </c>
      <c r="C731" s="22" t="n">
        <v>45566</v>
      </c>
      <c r="D731" t="inlineStr">
        <is>
          <t>Mohamed Mahmoud</t>
        </is>
      </c>
      <c r="E731" t="n">
        <v>72</v>
      </c>
      <c r="F731" t="n">
        <v>2569</v>
      </c>
      <c r="G731" t="n">
        <v>2879</v>
      </c>
      <c r="H731" s="23" t="n">
        <v>184968</v>
      </c>
      <c r="I731" s="23" t="n">
        <v>207288</v>
      </c>
      <c r="J731" t="inlineStr">
        <is>
          <t>Oct</t>
        </is>
      </c>
      <c r="K731" t="n">
        <v>10</v>
      </c>
      <c r="L731" t="inlineStr">
        <is>
          <t>Q4</t>
        </is>
      </c>
      <c r="M731" t="n">
        <v>2024</v>
      </c>
      <c r="N731" s="22" t="n">
        <v>45566</v>
      </c>
      <c r="O731" s="24" t="n">
        <v>0.8923237235151095</v>
      </c>
      <c r="P731" s="23" t="n">
        <v>-22320</v>
      </c>
    </row>
    <row r="732">
      <c r="A732" t="inlineStr">
        <is>
          <t>Concor 5 MG</t>
        </is>
      </c>
      <c r="B732" t="inlineStr">
        <is>
          <t>Suez</t>
        </is>
      </c>
      <c r="C732" s="22" t="n">
        <v>45597</v>
      </c>
      <c r="D732" t="inlineStr">
        <is>
          <t>Mohamed Mahmoud</t>
        </is>
      </c>
      <c r="E732" t="n">
        <v>72</v>
      </c>
      <c r="F732" t="n">
        <v>1922</v>
      </c>
      <c r="G732" t="n">
        <v>2158</v>
      </c>
      <c r="H732" s="23" t="n">
        <v>138384</v>
      </c>
      <c r="I732" s="23" t="n">
        <v>155376</v>
      </c>
      <c r="J732" t="inlineStr">
        <is>
          <t>Nov</t>
        </is>
      </c>
      <c r="K732" t="n">
        <v>11</v>
      </c>
      <c r="L732" t="inlineStr">
        <is>
          <t>Q4</t>
        </is>
      </c>
      <c r="M732" t="n">
        <v>2024</v>
      </c>
      <c r="N732" s="22" t="n">
        <v>45597</v>
      </c>
      <c r="O732" s="24" t="n">
        <v>0.8906394810009268</v>
      </c>
      <c r="P732" s="23" t="n">
        <v>-16992</v>
      </c>
    </row>
    <row r="733">
      <c r="A733" t="inlineStr">
        <is>
          <t>Concor 5 MG</t>
        </is>
      </c>
      <c r="B733" t="inlineStr">
        <is>
          <t>Suez</t>
        </is>
      </c>
      <c r="C733" s="22" t="n">
        <v>45627</v>
      </c>
      <c r="D733" t="inlineStr">
        <is>
          <t>Mohamed Mahmoud</t>
        </is>
      </c>
      <c r="E733" t="n">
        <v>72</v>
      </c>
      <c r="F733" t="n">
        <v>3668</v>
      </c>
      <c r="G733" t="n">
        <v>3908</v>
      </c>
      <c r="H733" s="23" t="n">
        <v>264096</v>
      </c>
      <c r="I733" s="23" t="n">
        <v>281376</v>
      </c>
      <c r="J733" t="inlineStr">
        <is>
          <t>Dec</t>
        </is>
      </c>
      <c r="K733" t="n">
        <v>12</v>
      </c>
      <c r="L733" t="inlineStr">
        <is>
          <t>Q4</t>
        </is>
      </c>
      <c r="M733" t="n">
        <v>2024</v>
      </c>
      <c r="N733" s="22" t="n">
        <v>45627</v>
      </c>
      <c r="O733" s="24" t="n">
        <v>0.9385875127942682</v>
      </c>
      <c r="P733" s="23" t="n">
        <v>-17280</v>
      </c>
    </row>
    <row r="734">
      <c r="A734" t="inlineStr">
        <is>
          <t>Concor 5 MG</t>
        </is>
      </c>
      <c r="B734" t="inlineStr">
        <is>
          <t>Dakahlia 1</t>
        </is>
      </c>
      <c r="C734" s="22" t="n">
        <v>45292</v>
      </c>
      <c r="D734" t="inlineStr">
        <is>
          <t>Nour El-Din</t>
        </is>
      </c>
      <c r="E734" t="n">
        <v>72</v>
      </c>
      <c r="F734" t="n">
        <v>2687</v>
      </c>
      <c r="G734" t="n">
        <v>3149</v>
      </c>
      <c r="H734" s="23" t="n">
        <v>193464</v>
      </c>
      <c r="I734" s="23" t="n">
        <v>226728</v>
      </c>
      <c r="J734" t="inlineStr">
        <is>
          <t>Jan</t>
        </is>
      </c>
      <c r="K734" t="n">
        <v>1</v>
      </c>
      <c r="L734" t="inlineStr">
        <is>
          <t>Q1</t>
        </is>
      </c>
      <c r="M734" t="n">
        <v>2024</v>
      </c>
      <c r="N734" s="22" t="n">
        <v>45292</v>
      </c>
      <c r="O734" s="24" t="n">
        <v>0.8532867577008574</v>
      </c>
      <c r="P734" s="23" t="n">
        <v>-33264</v>
      </c>
    </row>
    <row r="735">
      <c r="A735" t="inlineStr">
        <is>
          <t>Concor 5 MG</t>
        </is>
      </c>
      <c r="B735" t="inlineStr">
        <is>
          <t>Dakahlia 1</t>
        </is>
      </c>
      <c r="C735" s="22" t="n">
        <v>45323</v>
      </c>
      <c r="D735" t="inlineStr">
        <is>
          <t>Nour El-Din</t>
        </is>
      </c>
      <c r="E735" t="n">
        <v>72</v>
      </c>
      <c r="F735" t="n">
        <v>3218</v>
      </c>
      <c r="G735" t="n">
        <v>3569</v>
      </c>
      <c r="H735" s="23" t="n">
        <v>231696</v>
      </c>
      <c r="I735" s="23" t="n">
        <v>256968</v>
      </c>
      <c r="J735" t="inlineStr">
        <is>
          <t>Feb</t>
        </is>
      </c>
      <c r="K735" t="n">
        <v>2</v>
      </c>
      <c r="L735" t="inlineStr">
        <is>
          <t>Q1</t>
        </is>
      </c>
      <c r="M735" t="n">
        <v>2024</v>
      </c>
      <c r="N735" s="22" t="n">
        <v>45323</v>
      </c>
      <c r="O735" s="24" t="n">
        <v>0.9016531241244046</v>
      </c>
      <c r="P735" s="23" t="n">
        <v>-25272</v>
      </c>
    </row>
    <row r="736">
      <c r="A736" t="inlineStr">
        <is>
          <t>Concor 5 MG</t>
        </is>
      </c>
      <c r="B736" t="inlineStr">
        <is>
          <t>Dakahlia 1</t>
        </is>
      </c>
      <c r="C736" s="22" t="n">
        <v>45352</v>
      </c>
      <c r="D736" t="inlineStr">
        <is>
          <t>Nour El-Din</t>
        </is>
      </c>
      <c r="E736" t="n">
        <v>72</v>
      </c>
      <c r="F736" t="n">
        <v>1919</v>
      </c>
      <c r="G736" t="n">
        <v>2014</v>
      </c>
      <c r="H736" s="23" t="n">
        <v>138168</v>
      </c>
      <c r="I736" s="23" t="n">
        <v>145008</v>
      </c>
      <c r="J736" t="inlineStr">
        <is>
          <t>Mar</t>
        </is>
      </c>
      <c r="K736" t="n">
        <v>3</v>
      </c>
      <c r="L736" t="inlineStr">
        <is>
          <t>Q1</t>
        </is>
      </c>
      <c r="M736" t="n">
        <v>2024</v>
      </c>
      <c r="N736" s="22" t="n">
        <v>45352</v>
      </c>
      <c r="O736" s="24" t="n">
        <v>0.9528301886792453</v>
      </c>
      <c r="P736" s="23" t="n">
        <v>-6840</v>
      </c>
    </row>
    <row r="737">
      <c r="A737" t="inlineStr">
        <is>
          <t>Concor 5 MG</t>
        </is>
      </c>
      <c r="B737" t="inlineStr">
        <is>
          <t>Dakahlia 1</t>
        </is>
      </c>
      <c r="C737" s="22" t="n">
        <v>45383</v>
      </c>
      <c r="D737" t="inlineStr">
        <is>
          <t>Nour El-Din</t>
        </is>
      </c>
      <c r="E737" t="n">
        <v>72</v>
      </c>
      <c r="F737" t="n">
        <v>2409</v>
      </c>
      <c r="G737" t="n">
        <v>2771</v>
      </c>
      <c r="H737" s="23" t="n">
        <v>173448</v>
      </c>
      <c r="I737" s="23" t="n">
        <v>199512</v>
      </c>
      <c r="J737" t="inlineStr">
        <is>
          <t>Apr</t>
        </is>
      </c>
      <c r="K737" t="n">
        <v>4</v>
      </c>
      <c r="L737" t="inlineStr">
        <is>
          <t>Q2</t>
        </is>
      </c>
      <c r="M737" t="n">
        <v>2024</v>
      </c>
      <c r="N737" s="22" t="n">
        <v>45383</v>
      </c>
      <c r="O737" s="24" t="n">
        <v>0.869361241429087</v>
      </c>
      <c r="P737" s="23" t="n">
        <v>-26064</v>
      </c>
    </row>
    <row r="738">
      <c r="A738" t="inlineStr">
        <is>
          <t>Concor 5 MG</t>
        </is>
      </c>
      <c r="B738" t="inlineStr">
        <is>
          <t>Dakahlia 1</t>
        </is>
      </c>
      <c r="C738" s="22" t="n">
        <v>45413</v>
      </c>
      <c r="D738" t="inlineStr">
        <is>
          <t>Nour El-Din</t>
        </is>
      </c>
      <c r="E738" t="n">
        <v>72</v>
      </c>
      <c r="F738" t="n">
        <v>3082</v>
      </c>
      <c r="G738" t="n">
        <v>3291</v>
      </c>
      <c r="H738" s="23" t="n">
        <v>221904</v>
      </c>
      <c r="I738" s="23" t="n">
        <v>236952</v>
      </c>
      <c r="J738" t="inlineStr">
        <is>
          <t>May</t>
        </is>
      </c>
      <c r="K738" t="n">
        <v>5</v>
      </c>
      <c r="L738" t="inlineStr">
        <is>
          <t>Q2</t>
        </is>
      </c>
      <c r="M738" t="n">
        <v>2024</v>
      </c>
      <c r="N738" s="22" t="n">
        <v>45413</v>
      </c>
      <c r="O738" s="24" t="n">
        <v>0.9364934670312974</v>
      </c>
      <c r="P738" s="23" t="n">
        <v>-15048</v>
      </c>
    </row>
    <row r="739">
      <c r="A739" t="inlineStr">
        <is>
          <t>Concor 5 MG</t>
        </is>
      </c>
      <c r="B739" t="inlineStr">
        <is>
          <t>Dakahlia 1</t>
        </is>
      </c>
      <c r="C739" s="22" t="n">
        <v>45444</v>
      </c>
      <c r="D739" t="inlineStr">
        <is>
          <t>Nour El-Din</t>
        </is>
      </c>
      <c r="E739" t="n">
        <v>72</v>
      </c>
      <c r="F739" t="n">
        <v>3084</v>
      </c>
      <c r="G739" t="n">
        <v>3457</v>
      </c>
      <c r="H739" s="23" t="n">
        <v>222048</v>
      </c>
      <c r="I739" s="23" t="n">
        <v>248904</v>
      </c>
      <c r="J739" t="inlineStr">
        <is>
          <t>Jun</t>
        </is>
      </c>
      <c r="K739" t="n">
        <v>6</v>
      </c>
      <c r="L739" t="inlineStr">
        <is>
          <t>Q2</t>
        </is>
      </c>
      <c r="M739" t="n">
        <v>2024</v>
      </c>
      <c r="N739" s="22" t="n">
        <v>45444</v>
      </c>
      <c r="O739" s="24" t="n">
        <v>0.8921029794619613</v>
      </c>
      <c r="P739" s="23" t="n">
        <v>-26856</v>
      </c>
    </row>
    <row r="740">
      <c r="A740" t="inlineStr">
        <is>
          <t>Concor 5 MG</t>
        </is>
      </c>
      <c r="B740" t="inlineStr">
        <is>
          <t>Dakahlia 1</t>
        </is>
      </c>
      <c r="C740" s="22" t="n">
        <v>45474</v>
      </c>
      <c r="D740" t="inlineStr">
        <is>
          <t>Nour El-Din</t>
        </is>
      </c>
      <c r="E740" t="n">
        <v>72</v>
      </c>
      <c r="F740" t="n">
        <v>3648</v>
      </c>
      <c r="G740" t="n">
        <v>3749</v>
      </c>
      <c r="H740" s="23" t="n">
        <v>262656</v>
      </c>
      <c r="I740" s="23" t="n">
        <v>269928</v>
      </c>
      <c r="J740" t="inlineStr">
        <is>
          <t>Jul</t>
        </is>
      </c>
      <c r="K740" t="n">
        <v>7</v>
      </c>
      <c r="L740" t="inlineStr">
        <is>
          <t>Q3</t>
        </is>
      </c>
      <c r="M740" t="n">
        <v>2024</v>
      </c>
      <c r="N740" s="22" t="n">
        <v>45474</v>
      </c>
      <c r="O740" s="24" t="n">
        <v>0.9730594825286744</v>
      </c>
      <c r="P740" s="23" t="n">
        <v>-7272</v>
      </c>
    </row>
    <row r="741">
      <c r="A741" t="inlineStr">
        <is>
          <t>Concor 5 MG</t>
        </is>
      </c>
      <c r="B741" t="inlineStr">
        <is>
          <t>Dakahlia 1</t>
        </is>
      </c>
      <c r="C741" s="22" t="n">
        <v>45505</v>
      </c>
      <c r="D741" t="inlineStr">
        <is>
          <t>Nour El-Din</t>
        </is>
      </c>
      <c r="E741" t="n">
        <v>72</v>
      </c>
      <c r="F741" t="n">
        <v>2347</v>
      </c>
      <c r="G741" t="n">
        <v>2466</v>
      </c>
      <c r="H741" s="23" t="n">
        <v>168984</v>
      </c>
      <c r="I741" s="23" t="n">
        <v>177552</v>
      </c>
      <c r="J741" t="inlineStr">
        <is>
          <t>Aug</t>
        </is>
      </c>
      <c r="K741" t="n">
        <v>8</v>
      </c>
      <c r="L741" t="inlineStr">
        <is>
          <t>Q3</t>
        </is>
      </c>
      <c r="M741" t="n">
        <v>2024</v>
      </c>
      <c r="N741" s="22" t="n">
        <v>45505</v>
      </c>
      <c r="O741" s="24" t="n">
        <v>0.9517437145174371</v>
      </c>
      <c r="P741" s="23" t="n">
        <v>-8568</v>
      </c>
    </row>
    <row r="742">
      <c r="A742" t="inlineStr">
        <is>
          <t>Concor 5 MG</t>
        </is>
      </c>
      <c r="B742" t="inlineStr">
        <is>
          <t>Dakahlia 1</t>
        </is>
      </c>
      <c r="C742" s="22" t="n">
        <v>45536</v>
      </c>
      <c r="D742" t="inlineStr">
        <is>
          <t>Nour El-Din</t>
        </is>
      </c>
      <c r="E742" t="n">
        <v>72</v>
      </c>
      <c r="F742" t="n">
        <v>3671</v>
      </c>
      <c r="G742" t="n">
        <v>3125</v>
      </c>
      <c r="H742" s="23" t="n">
        <v>264312</v>
      </c>
      <c r="I742" s="23" t="n">
        <v>225000</v>
      </c>
      <c r="J742" t="inlineStr">
        <is>
          <t>Sep</t>
        </is>
      </c>
      <c r="K742" t="n">
        <v>9</v>
      </c>
      <c r="L742" t="inlineStr">
        <is>
          <t>Q3</t>
        </is>
      </c>
      <c r="M742" t="n">
        <v>2024</v>
      </c>
      <c r="N742" s="22" t="n">
        <v>45536</v>
      </c>
      <c r="O742" s="24" t="n">
        <v>1.17472</v>
      </c>
      <c r="P742" s="23" t="n">
        <v>39312</v>
      </c>
    </row>
    <row r="743">
      <c r="A743" t="inlineStr">
        <is>
          <t>Concor 5 MG</t>
        </is>
      </c>
      <c r="B743" t="inlineStr">
        <is>
          <t>Dakahlia 1</t>
        </is>
      </c>
      <c r="C743" s="22" t="n">
        <v>45566</v>
      </c>
      <c r="D743" t="inlineStr">
        <is>
          <t>Nour El-Din</t>
        </is>
      </c>
      <c r="E743" t="n">
        <v>72</v>
      </c>
      <c r="F743" t="n">
        <v>2433</v>
      </c>
      <c r="G743" t="n">
        <v>2687</v>
      </c>
      <c r="H743" s="23" t="n">
        <v>175176</v>
      </c>
      <c r="I743" s="23" t="n">
        <v>193464</v>
      </c>
      <c r="J743" t="inlineStr">
        <is>
          <t>Oct</t>
        </is>
      </c>
      <c r="K743" t="n">
        <v>10</v>
      </c>
      <c r="L743" t="inlineStr">
        <is>
          <t>Q4</t>
        </is>
      </c>
      <c r="M743" t="n">
        <v>2024</v>
      </c>
      <c r="N743" s="22" t="n">
        <v>45566</v>
      </c>
      <c r="O743" s="24" t="n">
        <v>0.9054707852623743</v>
      </c>
      <c r="P743" s="23" t="n">
        <v>-18288</v>
      </c>
    </row>
    <row r="744">
      <c r="A744" t="inlineStr">
        <is>
          <t>Concor 5 MG</t>
        </is>
      </c>
      <c r="B744" t="inlineStr">
        <is>
          <t>Dakahlia 1</t>
        </is>
      </c>
      <c r="C744" s="22" t="n">
        <v>45597</v>
      </c>
      <c r="D744" t="inlineStr">
        <is>
          <t>Nour El-Din</t>
        </is>
      </c>
      <c r="E744" t="n">
        <v>72</v>
      </c>
      <c r="F744" t="n">
        <v>2202</v>
      </c>
      <c r="G744" t="n">
        <v>2386</v>
      </c>
      <c r="H744" s="23" t="n">
        <v>158544</v>
      </c>
      <c r="I744" s="23" t="n">
        <v>171792</v>
      </c>
      <c r="J744" t="inlineStr">
        <is>
          <t>Nov</t>
        </is>
      </c>
      <c r="K744" t="n">
        <v>11</v>
      </c>
      <c r="L744" t="inlineStr">
        <is>
          <t>Q4</t>
        </is>
      </c>
      <c r="M744" t="n">
        <v>2024</v>
      </c>
      <c r="N744" s="22" t="n">
        <v>45597</v>
      </c>
      <c r="O744" s="24" t="n">
        <v>0.922883487007544</v>
      </c>
      <c r="P744" s="23" t="n">
        <v>-13248</v>
      </c>
    </row>
    <row r="745">
      <c r="A745" t="inlineStr">
        <is>
          <t>Concor 5 MG</t>
        </is>
      </c>
      <c r="B745" t="inlineStr">
        <is>
          <t>Dakahlia 1</t>
        </is>
      </c>
      <c r="C745" s="22" t="n">
        <v>45627</v>
      </c>
      <c r="D745" t="inlineStr">
        <is>
          <t>Nour El-Din</t>
        </is>
      </c>
      <c r="E745" t="n">
        <v>72</v>
      </c>
      <c r="F745" t="n">
        <v>2070</v>
      </c>
      <c r="G745" t="n">
        <v>2208</v>
      </c>
      <c r="H745" s="23" t="n">
        <v>149040</v>
      </c>
      <c r="I745" s="23" t="n">
        <v>158976</v>
      </c>
      <c r="J745" t="inlineStr">
        <is>
          <t>Dec</t>
        </is>
      </c>
      <c r="K745" t="n">
        <v>12</v>
      </c>
      <c r="L745" t="inlineStr">
        <is>
          <t>Q4</t>
        </is>
      </c>
      <c r="M745" t="n">
        <v>2024</v>
      </c>
      <c r="N745" s="22" t="n">
        <v>45627</v>
      </c>
      <c r="O745" s="24" t="n">
        <v>0.9375</v>
      </c>
      <c r="P745" s="23" t="n">
        <v>-9936</v>
      </c>
    </row>
    <row r="746">
      <c r="A746" t="inlineStr">
        <is>
          <t>Concor 5 MG</t>
        </is>
      </c>
      <c r="B746" t="inlineStr">
        <is>
          <t>Dakahlia 2</t>
        </is>
      </c>
      <c r="C746" s="22" t="n">
        <v>45292</v>
      </c>
      <c r="D746" t="inlineStr">
        <is>
          <t>Omar Khaled</t>
        </is>
      </c>
      <c r="E746" t="n">
        <v>72</v>
      </c>
      <c r="F746" t="n">
        <v>2663</v>
      </c>
      <c r="G746" t="n">
        <v>2527</v>
      </c>
      <c r="H746" s="23" t="n">
        <v>191736</v>
      </c>
      <c r="I746" s="23" t="n">
        <v>181944</v>
      </c>
      <c r="J746" t="inlineStr">
        <is>
          <t>Jan</t>
        </is>
      </c>
      <c r="K746" t="n">
        <v>1</v>
      </c>
      <c r="L746" t="inlineStr">
        <is>
          <t>Q1</t>
        </is>
      </c>
      <c r="M746" t="n">
        <v>2024</v>
      </c>
      <c r="N746" s="22" t="n">
        <v>45292</v>
      </c>
      <c r="O746" s="24" t="n">
        <v>1.053818757419865</v>
      </c>
      <c r="P746" s="23" t="n">
        <v>9792</v>
      </c>
    </row>
    <row r="747">
      <c r="A747" t="inlineStr">
        <is>
          <t>Concor 5 MG</t>
        </is>
      </c>
      <c r="B747" t="inlineStr">
        <is>
          <t>Dakahlia 2</t>
        </is>
      </c>
      <c r="C747" s="22" t="n">
        <v>45323</v>
      </c>
      <c r="D747" t="inlineStr">
        <is>
          <t>Omar Khaled</t>
        </is>
      </c>
      <c r="E747" t="n">
        <v>72</v>
      </c>
      <c r="F747" t="n">
        <v>2746</v>
      </c>
      <c r="G747" t="n">
        <v>2579</v>
      </c>
      <c r="H747" s="23" t="n">
        <v>197712</v>
      </c>
      <c r="I747" s="23" t="n">
        <v>185688</v>
      </c>
      <c r="J747" t="inlineStr">
        <is>
          <t>Feb</t>
        </is>
      </c>
      <c r="K747" t="n">
        <v>2</v>
      </c>
      <c r="L747" t="inlineStr">
        <is>
          <t>Q1</t>
        </is>
      </c>
      <c r="M747" t="n">
        <v>2024</v>
      </c>
      <c r="N747" s="22" t="n">
        <v>45323</v>
      </c>
      <c r="O747" s="24" t="n">
        <v>1.064753780535091</v>
      </c>
      <c r="P747" s="23" t="n">
        <v>12024</v>
      </c>
    </row>
    <row r="748">
      <c r="A748" t="inlineStr">
        <is>
          <t>Concor 5 MG</t>
        </is>
      </c>
      <c r="B748" t="inlineStr">
        <is>
          <t>Dakahlia 2</t>
        </is>
      </c>
      <c r="C748" s="22" t="n">
        <v>45352</v>
      </c>
      <c r="D748" t="inlineStr">
        <is>
          <t>Omar Khaled</t>
        </is>
      </c>
      <c r="E748" t="n">
        <v>72</v>
      </c>
      <c r="F748" t="n">
        <v>3585</v>
      </c>
      <c r="G748" t="n">
        <v>3766</v>
      </c>
      <c r="H748" s="23" t="n">
        <v>258120</v>
      </c>
      <c r="I748" s="23" t="n">
        <v>271152</v>
      </c>
      <c r="J748" t="inlineStr">
        <is>
          <t>Mar</t>
        </is>
      </c>
      <c r="K748" t="n">
        <v>3</v>
      </c>
      <c r="L748" t="inlineStr">
        <is>
          <t>Q1</t>
        </is>
      </c>
      <c r="M748" t="n">
        <v>2024</v>
      </c>
      <c r="N748" s="22" t="n">
        <v>45352</v>
      </c>
      <c r="O748" s="24" t="n">
        <v>0.9519383961763144</v>
      </c>
      <c r="P748" s="23" t="n">
        <v>-13032</v>
      </c>
    </row>
    <row r="749">
      <c r="A749" t="inlineStr">
        <is>
          <t>Concor 5 MG</t>
        </is>
      </c>
      <c r="B749" t="inlineStr">
        <is>
          <t>Dakahlia 2</t>
        </is>
      </c>
      <c r="C749" s="22" t="n">
        <v>45383</v>
      </c>
      <c r="D749" t="inlineStr">
        <is>
          <t>Omar Khaled</t>
        </is>
      </c>
      <c r="E749" t="n">
        <v>72</v>
      </c>
      <c r="F749" t="n">
        <v>3273</v>
      </c>
      <c r="G749" t="n">
        <v>3015</v>
      </c>
      <c r="H749" s="23" t="n">
        <v>235656</v>
      </c>
      <c r="I749" s="23" t="n">
        <v>217080</v>
      </c>
      <c r="J749" t="inlineStr">
        <is>
          <t>Apr</t>
        </is>
      </c>
      <c r="K749" t="n">
        <v>4</v>
      </c>
      <c r="L749" t="inlineStr">
        <is>
          <t>Q2</t>
        </is>
      </c>
      <c r="M749" t="n">
        <v>2024</v>
      </c>
      <c r="N749" s="22" t="n">
        <v>45383</v>
      </c>
      <c r="O749" s="24" t="n">
        <v>1.085572139303483</v>
      </c>
      <c r="P749" s="23" t="n">
        <v>18576</v>
      </c>
    </row>
    <row r="750">
      <c r="A750" t="inlineStr">
        <is>
          <t>Concor 5 MG</t>
        </is>
      </c>
      <c r="B750" t="inlineStr">
        <is>
          <t>Dakahlia 2</t>
        </is>
      </c>
      <c r="C750" s="22" t="n">
        <v>45413</v>
      </c>
      <c r="D750" t="inlineStr">
        <is>
          <t>Omar Khaled</t>
        </is>
      </c>
      <c r="E750" t="n">
        <v>72</v>
      </c>
      <c r="F750" t="n">
        <v>3146</v>
      </c>
      <c r="G750" t="n">
        <v>2915</v>
      </c>
      <c r="H750" s="23" t="n">
        <v>226512</v>
      </c>
      <c r="I750" s="23" t="n">
        <v>209880</v>
      </c>
      <c r="J750" t="inlineStr">
        <is>
          <t>May</t>
        </is>
      </c>
      <c r="K750" t="n">
        <v>5</v>
      </c>
      <c r="L750" t="inlineStr">
        <is>
          <t>Q2</t>
        </is>
      </c>
      <c r="M750" t="n">
        <v>2024</v>
      </c>
      <c r="N750" s="22" t="n">
        <v>45413</v>
      </c>
      <c r="O750" s="24" t="n">
        <v>1.079245283018868</v>
      </c>
      <c r="P750" s="23" t="n">
        <v>16632</v>
      </c>
    </row>
    <row r="751">
      <c r="A751" t="inlineStr">
        <is>
          <t>Concor 5 MG</t>
        </is>
      </c>
      <c r="B751" t="inlineStr">
        <is>
          <t>Dakahlia 2</t>
        </is>
      </c>
      <c r="C751" s="22" t="n">
        <v>45444</v>
      </c>
      <c r="D751" t="inlineStr">
        <is>
          <t>Omar Khaled</t>
        </is>
      </c>
      <c r="E751" t="n">
        <v>72</v>
      </c>
      <c r="F751" t="n">
        <v>3301</v>
      </c>
      <c r="G751" t="n">
        <v>3176</v>
      </c>
      <c r="H751" s="23" t="n">
        <v>237672</v>
      </c>
      <c r="I751" s="23" t="n">
        <v>228672</v>
      </c>
      <c r="J751" t="inlineStr">
        <is>
          <t>Jun</t>
        </is>
      </c>
      <c r="K751" t="n">
        <v>6</v>
      </c>
      <c r="L751" t="inlineStr">
        <is>
          <t>Q2</t>
        </is>
      </c>
      <c r="M751" t="n">
        <v>2024</v>
      </c>
      <c r="N751" s="22" t="n">
        <v>45444</v>
      </c>
      <c r="O751" s="24" t="n">
        <v>1.039357682619647</v>
      </c>
      <c r="P751" s="23" t="n">
        <v>9000</v>
      </c>
    </row>
    <row r="752">
      <c r="A752" t="inlineStr">
        <is>
          <t>Concor 5 MG</t>
        </is>
      </c>
      <c r="B752" t="inlineStr">
        <is>
          <t>Dakahlia 2</t>
        </is>
      </c>
      <c r="C752" s="22" t="n">
        <v>45474</v>
      </c>
      <c r="D752" t="inlineStr">
        <is>
          <t>Omar Khaled</t>
        </is>
      </c>
      <c r="E752" t="n">
        <v>72</v>
      </c>
      <c r="F752" t="n">
        <v>3446</v>
      </c>
      <c r="G752" t="n">
        <v>3926</v>
      </c>
      <c r="H752" s="23" t="n">
        <v>248112</v>
      </c>
      <c r="I752" s="23" t="n">
        <v>282672</v>
      </c>
      <c r="J752" t="inlineStr">
        <is>
          <t>Jul</t>
        </is>
      </c>
      <c r="K752" t="n">
        <v>7</v>
      </c>
      <c r="L752" t="inlineStr">
        <is>
          <t>Q3</t>
        </is>
      </c>
      <c r="M752" t="n">
        <v>2024</v>
      </c>
      <c r="N752" s="22" t="n">
        <v>45474</v>
      </c>
      <c r="O752" s="24" t="n">
        <v>0.8777381558838513</v>
      </c>
      <c r="P752" s="23" t="n">
        <v>-34560</v>
      </c>
    </row>
    <row r="753">
      <c r="A753" t="inlineStr">
        <is>
          <t>Concor 5 MG</t>
        </is>
      </c>
      <c r="B753" t="inlineStr">
        <is>
          <t>Dakahlia 2</t>
        </is>
      </c>
      <c r="C753" s="22" t="n">
        <v>45505</v>
      </c>
      <c r="D753" t="inlineStr">
        <is>
          <t>Omar Khaled</t>
        </is>
      </c>
      <c r="E753" t="n">
        <v>72</v>
      </c>
      <c r="F753" t="n">
        <v>3700</v>
      </c>
      <c r="G753" t="n">
        <v>3574</v>
      </c>
      <c r="H753" s="23" t="n">
        <v>266400</v>
      </c>
      <c r="I753" s="23" t="n">
        <v>257328</v>
      </c>
      <c r="J753" t="inlineStr">
        <is>
          <t>Aug</t>
        </is>
      </c>
      <c r="K753" t="n">
        <v>8</v>
      </c>
      <c r="L753" t="inlineStr">
        <is>
          <t>Q3</t>
        </is>
      </c>
      <c r="M753" t="n">
        <v>2024</v>
      </c>
      <c r="N753" s="22" t="n">
        <v>45505</v>
      </c>
      <c r="O753" s="24" t="n">
        <v>1.035254616675993</v>
      </c>
      <c r="P753" s="23" t="n">
        <v>9072</v>
      </c>
    </row>
    <row r="754">
      <c r="A754" t="inlineStr">
        <is>
          <t>Concor 5 MG</t>
        </is>
      </c>
      <c r="B754" t="inlineStr">
        <is>
          <t>Dakahlia 2</t>
        </is>
      </c>
      <c r="C754" s="22" t="n">
        <v>45536</v>
      </c>
      <c r="D754" t="inlineStr">
        <is>
          <t>Omar Khaled</t>
        </is>
      </c>
      <c r="E754" t="n">
        <v>72</v>
      </c>
      <c r="F754" t="n">
        <v>3004</v>
      </c>
      <c r="G754" t="n">
        <v>2797</v>
      </c>
      <c r="H754" s="23" t="n">
        <v>216288</v>
      </c>
      <c r="I754" s="23" t="n">
        <v>201384</v>
      </c>
      <c r="J754" t="inlineStr">
        <is>
          <t>Sep</t>
        </is>
      </c>
      <c r="K754" t="n">
        <v>9</v>
      </c>
      <c r="L754" t="inlineStr">
        <is>
          <t>Q3</t>
        </is>
      </c>
      <c r="M754" t="n">
        <v>2024</v>
      </c>
      <c r="N754" s="22" t="n">
        <v>45536</v>
      </c>
      <c r="O754" s="24" t="n">
        <v>1.074007865570254</v>
      </c>
      <c r="P754" s="23" t="n">
        <v>14904</v>
      </c>
    </row>
    <row r="755">
      <c r="A755" t="inlineStr">
        <is>
          <t>Concor 5 MG</t>
        </is>
      </c>
      <c r="B755" t="inlineStr">
        <is>
          <t>Dakahlia 2</t>
        </is>
      </c>
      <c r="C755" s="22" t="n">
        <v>45566</v>
      </c>
      <c r="D755" t="inlineStr">
        <is>
          <t>Omar Khaled</t>
        </is>
      </c>
      <c r="E755" t="n">
        <v>72</v>
      </c>
      <c r="F755" t="n">
        <v>2315</v>
      </c>
      <c r="G755" t="n">
        <v>2108</v>
      </c>
      <c r="H755" s="23" t="n">
        <v>166680</v>
      </c>
      <c r="I755" s="23" t="n">
        <v>151776</v>
      </c>
      <c r="J755" t="inlineStr">
        <is>
          <t>Oct</t>
        </is>
      </c>
      <c r="K755" t="n">
        <v>10</v>
      </c>
      <c r="L755" t="inlineStr">
        <is>
          <t>Q4</t>
        </is>
      </c>
      <c r="M755" t="n">
        <v>2024</v>
      </c>
      <c r="N755" s="22" t="n">
        <v>45566</v>
      </c>
      <c r="O755" s="24" t="n">
        <v>1.09819734345351</v>
      </c>
      <c r="P755" s="23" t="n">
        <v>14904</v>
      </c>
    </row>
    <row r="756">
      <c r="A756" t="inlineStr">
        <is>
          <t>Concor 5 MG</t>
        </is>
      </c>
      <c r="B756" t="inlineStr">
        <is>
          <t>Dakahlia 2</t>
        </is>
      </c>
      <c r="C756" s="22" t="n">
        <v>45597</v>
      </c>
      <c r="D756" t="inlineStr">
        <is>
          <t>Omar Khaled</t>
        </is>
      </c>
      <c r="E756" t="n">
        <v>72</v>
      </c>
      <c r="F756" t="n">
        <v>3648</v>
      </c>
      <c r="G756" t="n">
        <v>3502</v>
      </c>
      <c r="H756" s="23" t="n">
        <v>262656</v>
      </c>
      <c r="I756" s="23" t="n">
        <v>252144</v>
      </c>
      <c r="J756" t="inlineStr">
        <is>
          <t>Nov</t>
        </is>
      </c>
      <c r="K756" t="n">
        <v>11</v>
      </c>
      <c r="L756" t="inlineStr">
        <is>
          <t>Q4</t>
        </is>
      </c>
      <c r="M756" t="n">
        <v>2024</v>
      </c>
      <c r="N756" s="22" t="n">
        <v>45597</v>
      </c>
      <c r="O756" s="24" t="n">
        <v>1.041690462592804</v>
      </c>
      <c r="P756" s="23" t="n">
        <v>10512</v>
      </c>
    </row>
    <row r="757">
      <c r="A757" t="inlineStr">
        <is>
          <t>Concor 5 MG</t>
        </is>
      </c>
      <c r="B757" t="inlineStr">
        <is>
          <t>Dakahlia 2</t>
        </is>
      </c>
      <c r="C757" s="22" t="n">
        <v>45627</v>
      </c>
      <c r="D757" t="inlineStr">
        <is>
          <t>Omar Khaled</t>
        </is>
      </c>
      <c r="E757" t="n">
        <v>72</v>
      </c>
      <c r="F757" t="n">
        <v>3246</v>
      </c>
      <c r="G757" t="n">
        <v>2959</v>
      </c>
      <c r="H757" s="23" t="n">
        <v>233712</v>
      </c>
      <c r="I757" s="23" t="n">
        <v>213048</v>
      </c>
      <c r="J757" t="inlineStr">
        <is>
          <t>Dec</t>
        </is>
      </c>
      <c r="K757" t="n">
        <v>12</v>
      </c>
      <c r="L757" t="inlineStr">
        <is>
          <t>Q4</t>
        </is>
      </c>
      <c r="M757" t="n">
        <v>2024</v>
      </c>
      <c r="N757" s="22" t="n">
        <v>45627</v>
      </c>
      <c r="O757" s="24" t="n">
        <v>1.096992227103751</v>
      </c>
      <c r="P757" s="23" t="n">
        <v>20664</v>
      </c>
    </row>
    <row r="758">
      <c r="A758" t="inlineStr">
        <is>
          <t>Concor 5 MG</t>
        </is>
      </c>
      <c r="B758" t="inlineStr">
        <is>
          <t>Sharqia 1</t>
        </is>
      </c>
      <c r="C758" s="22" t="n">
        <v>45292</v>
      </c>
      <c r="D758" t="inlineStr">
        <is>
          <t>Sara Ibrahim</t>
        </is>
      </c>
      <c r="E758" t="n">
        <v>72</v>
      </c>
      <c r="F758" t="n">
        <v>3020</v>
      </c>
      <c r="G758" t="n">
        <v>2883</v>
      </c>
      <c r="H758" s="23" t="n">
        <v>217440</v>
      </c>
      <c r="I758" s="23" t="n">
        <v>207576</v>
      </c>
      <c r="J758" t="inlineStr">
        <is>
          <t>Jan</t>
        </is>
      </c>
      <c r="K758" t="n">
        <v>1</v>
      </c>
      <c r="L758" t="inlineStr">
        <is>
          <t>Q1</t>
        </is>
      </c>
      <c r="M758" t="n">
        <v>2024</v>
      </c>
      <c r="N758" s="22" t="n">
        <v>45292</v>
      </c>
      <c r="O758" s="24" t="n">
        <v>1.047519944502254</v>
      </c>
      <c r="P758" s="23" t="n">
        <v>9864</v>
      </c>
    </row>
    <row r="759">
      <c r="A759" t="inlineStr">
        <is>
          <t>Concor 5 MG</t>
        </is>
      </c>
      <c r="B759" t="inlineStr">
        <is>
          <t>Sharqia 1</t>
        </is>
      </c>
      <c r="C759" s="22" t="n">
        <v>45323</v>
      </c>
      <c r="D759" t="inlineStr">
        <is>
          <t>Sara Ibrahim</t>
        </is>
      </c>
      <c r="E759" t="n">
        <v>72</v>
      </c>
      <c r="F759" t="n">
        <v>3293</v>
      </c>
      <c r="G759" t="n">
        <v>3009</v>
      </c>
      <c r="H759" s="23" t="n">
        <v>237096</v>
      </c>
      <c r="I759" s="23" t="n">
        <v>216648</v>
      </c>
      <c r="J759" t="inlineStr">
        <is>
          <t>Feb</t>
        </is>
      </c>
      <c r="K759" t="n">
        <v>2</v>
      </c>
      <c r="L759" t="inlineStr">
        <is>
          <t>Q1</t>
        </is>
      </c>
      <c r="M759" t="n">
        <v>2024</v>
      </c>
      <c r="N759" s="22" t="n">
        <v>45323</v>
      </c>
      <c r="O759" s="24" t="n">
        <v>1.094383516118312</v>
      </c>
      <c r="P759" s="23" t="n">
        <v>20448</v>
      </c>
    </row>
    <row r="760">
      <c r="A760" t="inlineStr">
        <is>
          <t>Concor 5 MG</t>
        </is>
      </c>
      <c r="B760" t="inlineStr">
        <is>
          <t>Sharqia 1</t>
        </is>
      </c>
      <c r="C760" s="22" t="n">
        <v>45352</v>
      </c>
      <c r="D760" t="inlineStr">
        <is>
          <t>Sara Ibrahim</t>
        </is>
      </c>
      <c r="E760" t="n">
        <v>72</v>
      </c>
      <c r="F760" t="n">
        <v>2753</v>
      </c>
      <c r="G760" t="n">
        <v>3023</v>
      </c>
      <c r="H760" s="23" t="n">
        <v>198216</v>
      </c>
      <c r="I760" s="23" t="n">
        <v>217656</v>
      </c>
      <c r="J760" t="inlineStr">
        <is>
          <t>Mar</t>
        </is>
      </c>
      <c r="K760" t="n">
        <v>3</v>
      </c>
      <c r="L760" t="inlineStr">
        <is>
          <t>Q1</t>
        </is>
      </c>
      <c r="M760" t="n">
        <v>2024</v>
      </c>
      <c r="N760" s="22" t="n">
        <v>45352</v>
      </c>
      <c r="O760" s="24" t="n">
        <v>0.9106847502480979</v>
      </c>
      <c r="P760" s="23" t="n">
        <v>-19440</v>
      </c>
    </row>
    <row r="761">
      <c r="A761" t="inlineStr">
        <is>
          <t>Concor 5 MG</t>
        </is>
      </c>
      <c r="B761" t="inlineStr">
        <is>
          <t>Sharqia 1</t>
        </is>
      </c>
      <c r="C761" s="22" t="n">
        <v>45383</v>
      </c>
      <c r="D761" t="inlineStr">
        <is>
          <t>Sara Ibrahim</t>
        </is>
      </c>
      <c r="E761" t="n">
        <v>72</v>
      </c>
      <c r="F761" t="n">
        <v>2789</v>
      </c>
      <c r="G761" t="n">
        <v>2588</v>
      </c>
      <c r="H761" s="23" t="n">
        <v>200808</v>
      </c>
      <c r="I761" s="23" t="n">
        <v>186336</v>
      </c>
      <c r="J761" t="inlineStr">
        <is>
          <t>Apr</t>
        </is>
      </c>
      <c r="K761" t="n">
        <v>4</v>
      </c>
      <c r="L761" t="inlineStr">
        <is>
          <t>Q2</t>
        </is>
      </c>
      <c r="M761" t="n">
        <v>2024</v>
      </c>
      <c r="N761" s="22" t="n">
        <v>45383</v>
      </c>
      <c r="O761" s="24" t="n">
        <v>1.077666151468315</v>
      </c>
      <c r="P761" s="23" t="n">
        <v>14472</v>
      </c>
    </row>
    <row r="762">
      <c r="A762" t="inlineStr">
        <is>
          <t>Concor 5 MG</t>
        </is>
      </c>
      <c r="B762" t="inlineStr">
        <is>
          <t>Sharqia 1</t>
        </is>
      </c>
      <c r="C762" s="22" t="n">
        <v>45413</v>
      </c>
      <c r="D762" t="inlineStr">
        <is>
          <t>Sara Ibrahim</t>
        </is>
      </c>
      <c r="E762" t="n">
        <v>72</v>
      </c>
      <c r="F762" t="n">
        <v>2259</v>
      </c>
      <c r="G762" t="n">
        <v>2545</v>
      </c>
      <c r="H762" s="23" t="n">
        <v>162648</v>
      </c>
      <c r="I762" s="23" t="n">
        <v>183240</v>
      </c>
      <c r="J762" t="inlineStr">
        <is>
          <t>May</t>
        </is>
      </c>
      <c r="K762" t="n">
        <v>5</v>
      </c>
      <c r="L762" t="inlineStr">
        <is>
          <t>Q2</t>
        </is>
      </c>
      <c r="M762" t="n">
        <v>2024</v>
      </c>
      <c r="N762" s="22" t="n">
        <v>45413</v>
      </c>
      <c r="O762" s="24" t="n">
        <v>0.88762278978389</v>
      </c>
      <c r="P762" s="23" t="n">
        <v>-20592</v>
      </c>
    </row>
    <row r="763">
      <c r="A763" t="inlineStr">
        <is>
          <t>Concor 5 MG</t>
        </is>
      </c>
      <c r="B763" t="inlineStr">
        <is>
          <t>Sharqia 1</t>
        </is>
      </c>
      <c r="C763" s="22" t="n">
        <v>45444</v>
      </c>
      <c r="D763" t="inlineStr">
        <is>
          <t>Sara Ibrahim</t>
        </is>
      </c>
      <c r="E763" t="n">
        <v>72</v>
      </c>
      <c r="F763" t="n">
        <v>2298</v>
      </c>
      <c r="G763" t="n">
        <v>2523</v>
      </c>
      <c r="H763" s="23" t="n">
        <v>165456</v>
      </c>
      <c r="I763" s="23" t="n">
        <v>181656</v>
      </c>
      <c r="J763" t="inlineStr">
        <is>
          <t>Jun</t>
        </is>
      </c>
      <c r="K763" t="n">
        <v>6</v>
      </c>
      <c r="L763" t="inlineStr">
        <is>
          <t>Q2</t>
        </is>
      </c>
      <c r="M763" t="n">
        <v>2024</v>
      </c>
      <c r="N763" s="22" t="n">
        <v>45444</v>
      </c>
      <c r="O763" s="24" t="n">
        <v>0.9108204518430439</v>
      </c>
      <c r="P763" s="23" t="n">
        <v>-16200</v>
      </c>
    </row>
    <row r="764">
      <c r="A764" t="inlineStr">
        <is>
          <t>Concor 5 MG</t>
        </is>
      </c>
      <c r="B764" t="inlineStr">
        <is>
          <t>Sharqia 1</t>
        </is>
      </c>
      <c r="C764" s="22" t="n">
        <v>45474</v>
      </c>
      <c r="D764" t="inlineStr">
        <is>
          <t>Sara Ibrahim</t>
        </is>
      </c>
      <c r="E764" t="n">
        <v>72</v>
      </c>
      <c r="F764" t="n">
        <v>2356</v>
      </c>
      <c r="G764" t="n">
        <v>2258</v>
      </c>
      <c r="H764" s="23" t="n">
        <v>169632</v>
      </c>
      <c r="I764" s="23" t="n">
        <v>162576</v>
      </c>
      <c r="J764" t="inlineStr">
        <is>
          <t>Jul</t>
        </is>
      </c>
      <c r="K764" t="n">
        <v>7</v>
      </c>
      <c r="L764" t="inlineStr">
        <is>
          <t>Q3</t>
        </is>
      </c>
      <c r="M764" t="n">
        <v>2024</v>
      </c>
      <c r="N764" s="22" t="n">
        <v>45474</v>
      </c>
      <c r="O764" s="24" t="n">
        <v>1.04340124003543</v>
      </c>
      <c r="P764" s="23" t="n">
        <v>7056</v>
      </c>
    </row>
    <row r="765">
      <c r="A765" t="inlineStr">
        <is>
          <t>Concor 5 MG</t>
        </is>
      </c>
      <c r="B765" t="inlineStr">
        <is>
          <t>Sharqia 1</t>
        </is>
      </c>
      <c r="C765" s="22" t="n">
        <v>45505</v>
      </c>
      <c r="D765" t="inlineStr">
        <is>
          <t>Sara Ibrahim</t>
        </is>
      </c>
      <c r="E765" t="n">
        <v>72</v>
      </c>
      <c r="F765" t="n">
        <v>3209</v>
      </c>
      <c r="G765" t="n">
        <v>2990</v>
      </c>
      <c r="H765" s="23" t="n">
        <v>231048</v>
      </c>
      <c r="I765" s="23" t="n">
        <v>215280</v>
      </c>
      <c r="J765" t="inlineStr">
        <is>
          <t>Aug</t>
        </is>
      </c>
      <c r="K765" t="n">
        <v>8</v>
      </c>
      <c r="L765" t="inlineStr">
        <is>
          <t>Q3</t>
        </is>
      </c>
      <c r="M765" t="n">
        <v>2024</v>
      </c>
      <c r="N765" s="22" t="n">
        <v>45505</v>
      </c>
      <c r="O765" s="24" t="n">
        <v>1.073244147157191</v>
      </c>
      <c r="P765" s="23" t="n">
        <v>15768</v>
      </c>
    </row>
    <row r="766">
      <c r="A766" t="inlineStr">
        <is>
          <t>Concor 5 MG</t>
        </is>
      </c>
      <c r="B766" t="inlineStr">
        <is>
          <t>Sharqia 1</t>
        </is>
      </c>
      <c r="C766" s="22" t="n">
        <v>45536</v>
      </c>
      <c r="D766" t="inlineStr">
        <is>
          <t>Sara Ibrahim</t>
        </is>
      </c>
      <c r="E766" t="n">
        <v>72</v>
      </c>
      <c r="F766" t="n">
        <v>3655</v>
      </c>
      <c r="G766" t="n">
        <v>3901</v>
      </c>
      <c r="H766" s="23" t="n">
        <v>263160</v>
      </c>
      <c r="I766" s="23" t="n">
        <v>280872</v>
      </c>
      <c r="J766" t="inlineStr">
        <is>
          <t>Sep</t>
        </is>
      </c>
      <c r="K766" t="n">
        <v>9</v>
      </c>
      <c r="L766" t="inlineStr">
        <is>
          <t>Q3</t>
        </is>
      </c>
      <c r="M766" t="n">
        <v>2024</v>
      </c>
      <c r="N766" s="22" t="n">
        <v>45536</v>
      </c>
      <c r="O766" s="24" t="n">
        <v>0.9369392463470905</v>
      </c>
      <c r="P766" s="23" t="n">
        <v>-17712</v>
      </c>
    </row>
    <row r="767">
      <c r="A767" t="inlineStr">
        <is>
          <t>Concor 5 MG</t>
        </is>
      </c>
      <c r="B767" t="inlineStr">
        <is>
          <t>Sharqia 1</t>
        </is>
      </c>
      <c r="C767" s="22" t="n">
        <v>45566</v>
      </c>
      <c r="D767" t="inlineStr">
        <is>
          <t>Sara Ibrahim</t>
        </is>
      </c>
      <c r="E767" t="n">
        <v>72</v>
      </c>
      <c r="F767" t="n">
        <v>3232</v>
      </c>
      <c r="G767" t="n">
        <v>2998</v>
      </c>
      <c r="H767" s="23" t="n">
        <v>232704</v>
      </c>
      <c r="I767" s="23" t="n">
        <v>215856</v>
      </c>
      <c r="J767" t="inlineStr">
        <is>
          <t>Oct</t>
        </is>
      </c>
      <c r="K767" t="n">
        <v>10</v>
      </c>
      <c r="L767" t="inlineStr">
        <is>
          <t>Q4</t>
        </is>
      </c>
      <c r="M767" t="n">
        <v>2024</v>
      </c>
      <c r="N767" s="22" t="n">
        <v>45566</v>
      </c>
      <c r="O767" s="24" t="n">
        <v>1.078052034689793</v>
      </c>
      <c r="P767" s="23" t="n">
        <v>16848</v>
      </c>
    </row>
    <row r="768">
      <c r="A768" t="inlineStr">
        <is>
          <t>Concor 5 MG</t>
        </is>
      </c>
      <c r="B768" t="inlineStr">
        <is>
          <t>Sharqia 1</t>
        </is>
      </c>
      <c r="C768" s="22" t="n">
        <v>45597</v>
      </c>
      <c r="D768" t="inlineStr">
        <is>
          <t>Sara Ibrahim</t>
        </is>
      </c>
      <c r="E768" t="n">
        <v>72</v>
      </c>
      <c r="F768" t="n">
        <v>2158</v>
      </c>
      <c r="G768" t="n">
        <v>2387</v>
      </c>
      <c r="H768" s="23" t="n">
        <v>155376</v>
      </c>
      <c r="I768" s="23" t="n">
        <v>171864</v>
      </c>
      <c r="J768" t="inlineStr">
        <is>
          <t>Nov</t>
        </is>
      </c>
      <c r="K768" t="n">
        <v>11</v>
      </c>
      <c r="L768" t="inlineStr">
        <is>
          <t>Q4</t>
        </is>
      </c>
      <c r="M768" t="n">
        <v>2024</v>
      </c>
      <c r="N768" s="22" t="n">
        <v>45597</v>
      </c>
      <c r="O768" s="24" t="n">
        <v>0.9040636782572267</v>
      </c>
      <c r="P768" s="23" t="n">
        <v>-16488</v>
      </c>
    </row>
    <row r="769">
      <c r="A769" t="inlineStr">
        <is>
          <t>Concor 5 MG</t>
        </is>
      </c>
      <c r="B769" t="inlineStr">
        <is>
          <t>Sharqia 1</t>
        </is>
      </c>
      <c r="C769" s="22" t="n">
        <v>45627</v>
      </c>
      <c r="D769" t="inlineStr">
        <is>
          <t>Sara Ibrahim</t>
        </is>
      </c>
      <c r="E769" t="n">
        <v>72</v>
      </c>
      <c r="F769" t="n">
        <v>2585</v>
      </c>
      <c r="G769" t="n">
        <v>2904</v>
      </c>
      <c r="H769" s="23" t="n">
        <v>186120</v>
      </c>
      <c r="I769" s="23" t="n">
        <v>209088</v>
      </c>
      <c r="J769" t="inlineStr">
        <is>
          <t>Dec</t>
        </is>
      </c>
      <c r="K769" t="n">
        <v>12</v>
      </c>
      <c r="L769" t="inlineStr">
        <is>
          <t>Q4</t>
        </is>
      </c>
      <c r="M769" t="n">
        <v>2024</v>
      </c>
      <c r="N769" s="22" t="n">
        <v>45627</v>
      </c>
      <c r="O769" s="24" t="n">
        <v>0.8901515151515151</v>
      </c>
      <c r="P769" s="23" t="n">
        <v>-22968</v>
      </c>
    </row>
    <row r="770">
      <c r="A770" t="inlineStr">
        <is>
          <t>Concor 5 MG</t>
        </is>
      </c>
      <c r="B770" t="inlineStr">
        <is>
          <t>Sharqia 2</t>
        </is>
      </c>
      <c r="C770" s="22" t="n">
        <v>45292</v>
      </c>
      <c r="D770" t="inlineStr">
        <is>
          <t>Youssef Farouk</t>
        </is>
      </c>
      <c r="E770" t="n">
        <v>72</v>
      </c>
      <c r="F770" t="n">
        <v>2497</v>
      </c>
      <c r="G770" t="n">
        <v>2715</v>
      </c>
      <c r="H770" s="23" t="n">
        <v>179784</v>
      </c>
      <c r="I770" s="23" t="n">
        <v>195480</v>
      </c>
      <c r="J770" t="inlineStr">
        <is>
          <t>Jan</t>
        </is>
      </c>
      <c r="K770" t="n">
        <v>1</v>
      </c>
      <c r="L770" t="inlineStr">
        <is>
          <t>Q1</t>
        </is>
      </c>
      <c r="M770" t="n">
        <v>2024</v>
      </c>
      <c r="N770" s="22" t="n">
        <v>45292</v>
      </c>
      <c r="O770" s="24" t="n">
        <v>0.9197053406998158</v>
      </c>
      <c r="P770" s="23" t="n">
        <v>-15696</v>
      </c>
    </row>
    <row r="771">
      <c r="A771" t="inlineStr">
        <is>
          <t>Concor 5 MG</t>
        </is>
      </c>
      <c r="B771" t="inlineStr">
        <is>
          <t>Sharqia 2</t>
        </is>
      </c>
      <c r="C771" s="22" t="n">
        <v>45323</v>
      </c>
      <c r="D771" t="inlineStr">
        <is>
          <t>Youssef Farouk</t>
        </is>
      </c>
      <c r="E771" t="n">
        <v>72</v>
      </c>
      <c r="F771" t="n">
        <v>2510</v>
      </c>
      <c r="G771" t="n">
        <v>2545</v>
      </c>
      <c r="H771" s="23" t="n">
        <v>180720</v>
      </c>
      <c r="I771" s="23" t="n">
        <v>183240</v>
      </c>
      <c r="J771" t="inlineStr">
        <is>
          <t>Feb</t>
        </is>
      </c>
      <c r="K771" t="n">
        <v>2</v>
      </c>
      <c r="L771" t="inlineStr">
        <is>
          <t>Q1</t>
        </is>
      </c>
      <c r="M771" t="n">
        <v>2024</v>
      </c>
      <c r="N771" s="22" t="n">
        <v>45323</v>
      </c>
      <c r="O771" s="24" t="n">
        <v>0.9862475442043221</v>
      </c>
      <c r="P771" s="23" t="n">
        <v>-2520</v>
      </c>
    </row>
    <row r="772">
      <c r="A772" t="inlineStr">
        <is>
          <t>Concor 5 MG</t>
        </is>
      </c>
      <c r="B772" t="inlineStr">
        <is>
          <t>Sharqia 2</t>
        </is>
      </c>
      <c r="C772" s="22" t="n">
        <v>45352</v>
      </c>
      <c r="D772" t="inlineStr">
        <is>
          <t>Youssef Farouk</t>
        </is>
      </c>
      <c r="E772" t="n">
        <v>72</v>
      </c>
      <c r="F772" t="n">
        <v>3553</v>
      </c>
      <c r="G772" t="n">
        <v>3392</v>
      </c>
      <c r="H772" s="23" t="n">
        <v>255816</v>
      </c>
      <c r="I772" s="23" t="n">
        <v>244224</v>
      </c>
      <c r="J772" t="inlineStr">
        <is>
          <t>Mar</t>
        </is>
      </c>
      <c r="K772" t="n">
        <v>3</v>
      </c>
      <c r="L772" t="inlineStr">
        <is>
          <t>Q1</t>
        </is>
      </c>
      <c r="M772" t="n">
        <v>2024</v>
      </c>
      <c r="N772" s="22" t="n">
        <v>45352</v>
      </c>
      <c r="O772" s="24" t="n">
        <v>1.047464622641509</v>
      </c>
      <c r="P772" s="23" t="n">
        <v>11592</v>
      </c>
    </row>
    <row r="773">
      <c r="A773" t="inlineStr">
        <is>
          <t>Concor 5 MG</t>
        </is>
      </c>
      <c r="B773" t="inlineStr">
        <is>
          <t>Sharqia 2</t>
        </is>
      </c>
      <c r="C773" s="22" t="n">
        <v>45383</v>
      </c>
      <c r="D773" t="inlineStr">
        <is>
          <t>Youssef Farouk</t>
        </is>
      </c>
      <c r="E773" t="n">
        <v>72</v>
      </c>
      <c r="F773" t="n">
        <v>3265</v>
      </c>
      <c r="G773" t="n">
        <v>3502</v>
      </c>
      <c r="H773" s="23" t="n">
        <v>235080</v>
      </c>
      <c r="I773" s="23" t="n">
        <v>252144</v>
      </c>
      <c r="J773" t="inlineStr">
        <is>
          <t>Apr</t>
        </is>
      </c>
      <c r="K773" t="n">
        <v>4</v>
      </c>
      <c r="L773" t="inlineStr">
        <is>
          <t>Q2</t>
        </is>
      </c>
      <c r="M773" t="n">
        <v>2024</v>
      </c>
      <c r="N773" s="22" t="n">
        <v>45383</v>
      </c>
      <c r="O773" s="24" t="n">
        <v>0.9323243860651057</v>
      </c>
      <c r="P773" s="23" t="n">
        <v>-17064</v>
      </c>
    </row>
    <row r="774">
      <c r="A774" t="inlineStr">
        <is>
          <t>Concor 5 MG</t>
        </is>
      </c>
      <c r="B774" t="inlineStr">
        <is>
          <t>Sharqia 2</t>
        </is>
      </c>
      <c r="C774" s="22" t="n">
        <v>45413</v>
      </c>
      <c r="D774" t="inlineStr">
        <is>
          <t>Youssef Farouk</t>
        </is>
      </c>
      <c r="E774" t="n">
        <v>72</v>
      </c>
      <c r="F774" t="n">
        <v>3500</v>
      </c>
      <c r="G774" t="n">
        <v>3861</v>
      </c>
      <c r="H774" s="23" t="n">
        <v>252000</v>
      </c>
      <c r="I774" s="23" t="n">
        <v>277992</v>
      </c>
      <c r="J774" t="inlineStr">
        <is>
          <t>May</t>
        </is>
      </c>
      <c r="K774" t="n">
        <v>5</v>
      </c>
      <c r="L774" t="inlineStr">
        <is>
          <t>Q2</t>
        </is>
      </c>
      <c r="M774" t="n">
        <v>2024</v>
      </c>
      <c r="N774" s="22" t="n">
        <v>45413</v>
      </c>
      <c r="O774" s="24" t="n">
        <v>0.9065009065009065</v>
      </c>
      <c r="P774" s="23" t="n">
        <v>-25992</v>
      </c>
    </row>
    <row r="775">
      <c r="A775" t="inlineStr">
        <is>
          <t>Concor 5 MG</t>
        </is>
      </c>
      <c r="B775" t="inlineStr">
        <is>
          <t>Sharqia 2</t>
        </is>
      </c>
      <c r="C775" s="22" t="n">
        <v>45444</v>
      </c>
      <c r="D775" t="inlineStr">
        <is>
          <t>Youssef Farouk</t>
        </is>
      </c>
      <c r="E775" t="n">
        <v>72</v>
      </c>
      <c r="F775" t="n">
        <v>2950</v>
      </c>
      <c r="G775" t="n">
        <v>3402</v>
      </c>
      <c r="H775" s="23" t="n">
        <v>212400</v>
      </c>
      <c r="I775" s="23" t="n">
        <v>244944</v>
      </c>
      <c r="J775" t="inlineStr">
        <is>
          <t>Jun</t>
        </is>
      </c>
      <c r="K775" t="n">
        <v>6</v>
      </c>
      <c r="L775" t="inlineStr">
        <is>
          <t>Q2</t>
        </is>
      </c>
      <c r="M775" t="n">
        <v>2024</v>
      </c>
      <c r="N775" s="22" t="n">
        <v>45444</v>
      </c>
      <c r="O775" s="24" t="n">
        <v>0.8671369782480893</v>
      </c>
      <c r="P775" s="23" t="n">
        <v>-32544</v>
      </c>
    </row>
    <row r="776">
      <c r="A776" t="inlineStr">
        <is>
          <t>Concor 5 MG</t>
        </is>
      </c>
      <c r="B776" t="inlineStr">
        <is>
          <t>Sharqia 2</t>
        </is>
      </c>
      <c r="C776" s="22" t="n">
        <v>45474</v>
      </c>
      <c r="D776" t="inlineStr">
        <is>
          <t>Youssef Farouk</t>
        </is>
      </c>
      <c r="E776" t="n">
        <v>72</v>
      </c>
      <c r="F776" t="n">
        <v>2752</v>
      </c>
      <c r="G776" t="n">
        <v>2707</v>
      </c>
      <c r="H776" s="23" t="n">
        <v>198144</v>
      </c>
      <c r="I776" s="23" t="n">
        <v>194904</v>
      </c>
      <c r="J776" t="inlineStr">
        <is>
          <t>Jul</t>
        </is>
      </c>
      <c r="K776" t="n">
        <v>7</v>
      </c>
      <c r="L776" t="inlineStr">
        <is>
          <t>Q3</t>
        </is>
      </c>
      <c r="M776" t="n">
        <v>2024</v>
      </c>
      <c r="N776" s="22" t="n">
        <v>45474</v>
      </c>
      <c r="O776" s="24" t="n">
        <v>1.016623568526044</v>
      </c>
      <c r="P776" s="23" t="n">
        <v>3240</v>
      </c>
    </row>
    <row r="777">
      <c r="A777" t="inlineStr">
        <is>
          <t>Concor 5 MG</t>
        </is>
      </c>
      <c r="B777" t="inlineStr">
        <is>
          <t>Sharqia 2</t>
        </is>
      </c>
      <c r="C777" s="22" t="n">
        <v>45505</v>
      </c>
      <c r="D777" t="inlineStr">
        <is>
          <t>Youssef Farouk</t>
        </is>
      </c>
      <c r="E777" t="n">
        <v>72</v>
      </c>
      <c r="F777" t="n">
        <v>2673</v>
      </c>
      <c r="G777" t="n">
        <v>2530</v>
      </c>
      <c r="H777" s="23" t="n">
        <v>192456</v>
      </c>
      <c r="I777" s="23" t="n">
        <v>182160</v>
      </c>
      <c r="J777" t="inlineStr">
        <is>
          <t>Aug</t>
        </is>
      </c>
      <c r="K777" t="n">
        <v>8</v>
      </c>
      <c r="L777" t="inlineStr">
        <is>
          <t>Q3</t>
        </is>
      </c>
      <c r="M777" t="n">
        <v>2024</v>
      </c>
      <c r="N777" s="22" t="n">
        <v>45505</v>
      </c>
      <c r="O777" s="24" t="n">
        <v>1.056521739130435</v>
      </c>
      <c r="P777" s="23" t="n">
        <v>10296</v>
      </c>
    </row>
    <row r="778">
      <c r="A778" t="inlineStr">
        <is>
          <t>Concor 5 MG</t>
        </is>
      </c>
      <c r="B778" t="inlineStr">
        <is>
          <t>Sharqia 2</t>
        </is>
      </c>
      <c r="C778" s="22" t="n">
        <v>45536</v>
      </c>
      <c r="D778" t="inlineStr">
        <is>
          <t>Youssef Farouk</t>
        </is>
      </c>
      <c r="E778" t="n">
        <v>72</v>
      </c>
      <c r="F778" t="n">
        <v>2010</v>
      </c>
      <c r="G778" t="n">
        <v>2296</v>
      </c>
      <c r="H778" s="23" t="n">
        <v>144720</v>
      </c>
      <c r="I778" s="23" t="n">
        <v>165312</v>
      </c>
      <c r="J778" t="inlineStr">
        <is>
          <t>Sep</t>
        </is>
      </c>
      <c r="K778" t="n">
        <v>9</v>
      </c>
      <c r="L778" t="inlineStr">
        <is>
          <t>Q3</t>
        </is>
      </c>
      <c r="M778" t="n">
        <v>2024</v>
      </c>
      <c r="N778" s="22" t="n">
        <v>45536</v>
      </c>
      <c r="O778" s="24" t="n">
        <v>0.8754355400696864</v>
      </c>
      <c r="P778" s="23" t="n">
        <v>-20592</v>
      </c>
    </row>
    <row r="779">
      <c r="A779" t="inlineStr">
        <is>
          <t>Concor 5 MG</t>
        </is>
      </c>
      <c r="B779" t="inlineStr">
        <is>
          <t>Sharqia 2</t>
        </is>
      </c>
      <c r="C779" s="22" t="n">
        <v>45566</v>
      </c>
      <c r="D779" t="inlineStr">
        <is>
          <t>Youssef Farouk</t>
        </is>
      </c>
      <c r="E779" t="n">
        <v>72</v>
      </c>
      <c r="F779" t="n">
        <v>2099</v>
      </c>
      <c r="G779" t="n">
        <v>2463</v>
      </c>
      <c r="H779" s="23" t="n">
        <v>151128</v>
      </c>
      <c r="I779" s="23" t="n">
        <v>177336</v>
      </c>
      <c r="J779" t="inlineStr">
        <is>
          <t>Oct</t>
        </is>
      </c>
      <c r="K779" t="n">
        <v>10</v>
      </c>
      <c r="L779" t="inlineStr">
        <is>
          <t>Q4</t>
        </is>
      </c>
      <c r="M779" t="n">
        <v>2024</v>
      </c>
      <c r="N779" s="22" t="n">
        <v>45566</v>
      </c>
      <c r="O779" s="24" t="n">
        <v>0.8522127486804709</v>
      </c>
      <c r="P779" s="23" t="n">
        <v>-26208</v>
      </c>
    </row>
    <row r="780">
      <c r="A780" t="inlineStr">
        <is>
          <t>Concor 5 MG</t>
        </is>
      </c>
      <c r="B780" t="inlineStr">
        <is>
          <t>Sharqia 2</t>
        </is>
      </c>
      <c r="C780" s="22" t="n">
        <v>45597</v>
      </c>
      <c r="D780" t="inlineStr">
        <is>
          <t>Youssef Farouk</t>
        </is>
      </c>
      <c r="E780" t="n">
        <v>72</v>
      </c>
      <c r="F780" t="n">
        <v>2255</v>
      </c>
      <c r="G780" t="n">
        <v>2252</v>
      </c>
      <c r="H780" s="23" t="n">
        <v>162360</v>
      </c>
      <c r="I780" s="23" t="n">
        <v>162144</v>
      </c>
      <c r="J780" t="inlineStr">
        <is>
          <t>Nov</t>
        </is>
      </c>
      <c r="K780" t="n">
        <v>11</v>
      </c>
      <c r="L780" t="inlineStr">
        <is>
          <t>Q4</t>
        </is>
      </c>
      <c r="M780" t="n">
        <v>2024</v>
      </c>
      <c r="N780" s="22" t="n">
        <v>45597</v>
      </c>
      <c r="O780" s="24" t="n">
        <v>1.001332149200711</v>
      </c>
      <c r="P780" s="23" t="n">
        <v>216</v>
      </c>
    </row>
    <row r="781">
      <c r="A781" t="inlineStr">
        <is>
          <t>Concor 5 MG</t>
        </is>
      </c>
      <c r="B781" t="inlineStr">
        <is>
          <t>Sharqia 2</t>
        </is>
      </c>
      <c r="C781" s="22" t="n">
        <v>45627</v>
      </c>
      <c r="D781" t="inlineStr">
        <is>
          <t>Youssef Farouk</t>
        </is>
      </c>
      <c r="E781" t="n">
        <v>72</v>
      </c>
      <c r="F781" t="n">
        <v>3874</v>
      </c>
      <c r="G781" t="n">
        <v>3710</v>
      </c>
      <c r="H781" s="23" t="n">
        <v>278928</v>
      </c>
      <c r="I781" s="23" t="n">
        <v>267120</v>
      </c>
      <c r="J781" t="inlineStr">
        <is>
          <t>Dec</t>
        </is>
      </c>
      <c r="K781" t="n">
        <v>12</v>
      </c>
      <c r="L781" t="inlineStr">
        <is>
          <t>Q4</t>
        </is>
      </c>
      <c r="M781" t="n">
        <v>2024</v>
      </c>
      <c r="N781" s="22" t="n">
        <v>45627</v>
      </c>
      <c r="O781" s="24" t="n">
        <v>1.044204851752021</v>
      </c>
      <c r="P781" s="23" t="n">
        <v>11808</v>
      </c>
    </row>
    <row r="782">
      <c r="A782" t="inlineStr">
        <is>
          <t>Concor 10 MG</t>
        </is>
      </c>
      <c r="B782" t="inlineStr">
        <is>
          <t>Alexandria 1</t>
        </is>
      </c>
      <c r="C782" s="22" t="n">
        <v>45292</v>
      </c>
      <c r="D782" t="inlineStr">
        <is>
          <t>Ahmed Hassan</t>
        </is>
      </c>
      <c r="E782" t="n">
        <v>99</v>
      </c>
      <c r="F782" t="n">
        <v>2377</v>
      </c>
      <c r="G782" t="n">
        <v>2466</v>
      </c>
      <c r="H782" s="23" t="n">
        <v>235323</v>
      </c>
      <c r="I782" s="23" t="n">
        <v>244134</v>
      </c>
      <c r="J782" t="inlineStr">
        <is>
          <t>Jan</t>
        </is>
      </c>
      <c r="K782" t="n">
        <v>1</v>
      </c>
      <c r="L782" t="inlineStr">
        <is>
          <t>Q1</t>
        </is>
      </c>
      <c r="M782" t="n">
        <v>2024</v>
      </c>
      <c r="N782" s="22" t="n">
        <v>45292</v>
      </c>
      <c r="O782" s="24" t="n">
        <v>0.9639091646390916</v>
      </c>
      <c r="P782" s="23" t="n">
        <v>-8811</v>
      </c>
    </row>
    <row r="783">
      <c r="A783" t="inlineStr">
        <is>
          <t>Concor 10 MG</t>
        </is>
      </c>
      <c r="B783" t="inlineStr">
        <is>
          <t>Alexandria 1</t>
        </is>
      </c>
      <c r="C783" s="22" t="n">
        <v>45323</v>
      </c>
      <c r="D783" t="inlineStr">
        <is>
          <t>Ahmed Hassan</t>
        </is>
      </c>
      <c r="E783" t="n">
        <v>99</v>
      </c>
      <c r="F783" t="n">
        <v>3144</v>
      </c>
      <c r="G783" t="n">
        <v>2955</v>
      </c>
      <c r="H783" s="23" t="n">
        <v>311256</v>
      </c>
      <c r="I783" s="23" t="n">
        <v>292545</v>
      </c>
      <c r="J783" t="inlineStr">
        <is>
          <t>Feb</t>
        </is>
      </c>
      <c r="K783" t="n">
        <v>2</v>
      </c>
      <c r="L783" t="inlineStr">
        <is>
          <t>Q1</t>
        </is>
      </c>
      <c r="M783" t="n">
        <v>2024</v>
      </c>
      <c r="N783" s="22" t="n">
        <v>45323</v>
      </c>
      <c r="O783" s="24" t="n">
        <v>1.063959390862944</v>
      </c>
      <c r="P783" s="23" t="n">
        <v>18711</v>
      </c>
    </row>
    <row r="784">
      <c r="A784" t="inlineStr">
        <is>
          <t>Concor 10 MG</t>
        </is>
      </c>
      <c r="B784" t="inlineStr">
        <is>
          <t>Alexandria 1</t>
        </is>
      </c>
      <c r="C784" s="22" t="n">
        <v>45352</v>
      </c>
      <c r="D784" t="inlineStr">
        <is>
          <t>Ahmed Hassan</t>
        </is>
      </c>
      <c r="E784" t="n">
        <v>99</v>
      </c>
      <c r="F784" t="n">
        <v>3176</v>
      </c>
      <c r="G784" t="n">
        <v>3267</v>
      </c>
      <c r="H784" s="23" t="n">
        <v>314424</v>
      </c>
      <c r="I784" s="23" t="n">
        <v>323433</v>
      </c>
      <c r="J784" t="inlineStr">
        <is>
          <t>Mar</t>
        </is>
      </c>
      <c r="K784" t="n">
        <v>3</v>
      </c>
      <c r="L784" t="inlineStr">
        <is>
          <t>Q1</t>
        </is>
      </c>
      <c r="M784" t="n">
        <v>2024</v>
      </c>
      <c r="N784" s="22" t="n">
        <v>45352</v>
      </c>
      <c r="O784" s="24" t="n">
        <v>0.9721456994184267</v>
      </c>
      <c r="P784" s="23" t="n">
        <v>-9009</v>
      </c>
    </row>
    <row r="785">
      <c r="A785" t="inlineStr">
        <is>
          <t>Concor 10 MG</t>
        </is>
      </c>
      <c r="B785" t="inlineStr">
        <is>
          <t>Alexandria 1</t>
        </is>
      </c>
      <c r="C785" s="22" t="n">
        <v>45383</v>
      </c>
      <c r="D785" t="inlineStr">
        <is>
          <t>Ahmed Hassan</t>
        </is>
      </c>
      <c r="E785" t="n">
        <v>99</v>
      </c>
      <c r="F785" t="n">
        <v>3203</v>
      </c>
      <c r="G785" t="n">
        <v>3451</v>
      </c>
      <c r="H785" s="23" t="n">
        <v>317097</v>
      </c>
      <c r="I785" s="23" t="n">
        <v>341649</v>
      </c>
      <c r="J785" t="inlineStr">
        <is>
          <t>Apr</t>
        </is>
      </c>
      <c r="K785" t="n">
        <v>4</v>
      </c>
      <c r="L785" t="inlineStr">
        <is>
          <t>Q2</t>
        </is>
      </c>
      <c r="M785" t="n">
        <v>2024</v>
      </c>
      <c r="N785" s="22" t="n">
        <v>45383</v>
      </c>
      <c r="O785" s="24" t="n">
        <v>0.9281367719501594</v>
      </c>
      <c r="P785" s="23" t="n">
        <v>-24552</v>
      </c>
    </row>
    <row r="786">
      <c r="A786" t="inlineStr">
        <is>
          <t>Concor 10 MG</t>
        </is>
      </c>
      <c r="B786" t="inlineStr">
        <is>
          <t>Alexandria 1</t>
        </is>
      </c>
      <c r="C786" s="22" t="n">
        <v>45413</v>
      </c>
      <c r="D786" t="inlineStr">
        <is>
          <t>Ahmed Hassan</t>
        </is>
      </c>
      <c r="E786" t="n">
        <v>99</v>
      </c>
      <c r="F786" t="n">
        <v>3788</v>
      </c>
      <c r="G786" t="n">
        <v>3000</v>
      </c>
      <c r="H786" s="23" t="n">
        <v>375012</v>
      </c>
      <c r="I786" s="23" t="n">
        <v>297000</v>
      </c>
      <c r="J786" t="inlineStr">
        <is>
          <t>May</t>
        </is>
      </c>
      <c r="K786" t="n">
        <v>5</v>
      </c>
      <c r="L786" t="inlineStr">
        <is>
          <t>Q2</t>
        </is>
      </c>
      <c r="M786" t="n">
        <v>2024</v>
      </c>
      <c r="N786" s="22" t="n">
        <v>45413</v>
      </c>
      <c r="O786" s="24" t="n">
        <v>1.262666666666667</v>
      </c>
      <c r="P786" s="23" t="n">
        <v>78012</v>
      </c>
    </row>
    <row r="787">
      <c r="A787" t="inlineStr">
        <is>
          <t>Concor 10 MG</t>
        </is>
      </c>
      <c r="B787" t="inlineStr">
        <is>
          <t>Alexandria 1</t>
        </is>
      </c>
      <c r="C787" s="22" t="n">
        <v>45444</v>
      </c>
      <c r="D787" t="inlineStr">
        <is>
          <t>Ahmed Hassan</t>
        </is>
      </c>
      <c r="E787" t="n">
        <v>99</v>
      </c>
      <c r="F787" t="n">
        <v>2473</v>
      </c>
      <c r="G787" t="n">
        <v>2492</v>
      </c>
      <c r="H787" s="23" t="n">
        <v>244827</v>
      </c>
      <c r="I787" s="23" t="n">
        <v>246708</v>
      </c>
      <c r="J787" t="inlineStr">
        <is>
          <t>Jun</t>
        </is>
      </c>
      <c r="K787" t="n">
        <v>6</v>
      </c>
      <c r="L787" t="inlineStr">
        <is>
          <t>Q2</t>
        </is>
      </c>
      <c r="M787" t="n">
        <v>2024</v>
      </c>
      <c r="N787" s="22" t="n">
        <v>45444</v>
      </c>
      <c r="O787" s="24" t="n">
        <v>0.9923756019261637</v>
      </c>
      <c r="P787" s="23" t="n">
        <v>-1881</v>
      </c>
    </row>
    <row r="788">
      <c r="A788" t="inlineStr">
        <is>
          <t>Concor 10 MG</t>
        </is>
      </c>
      <c r="B788" t="inlineStr">
        <is>
          <t>Alexandria 1</t>
        </is>
      </c>
      <c r="C788" s="22" t="n">
        <v>45474</v>
      </c>
      <c r="D788" t="inlineStr">
        <is>
          <t>Ahmed Hassan</t>
        </is>
      </c>
      <c r="E788" t="n">
        <v>99</v>
      </c>
      <c r="F788" t="n">
        <v>2784</v>
      </c>
      <c r="G788" t="n">
        <v>3017</v>
      </c>
      <c r="H788" s="23" t="n">
        <v>275616</v>
      </c>
      <c r="I788" s="23" t="n">
        <v>298683</v>
      </c>
      <c r="J788" t="inlineStr">
        <is>
          <t>Jul</t>
        </is>
      </c>
      <c r="K788" t="n">
        <v>7</v>
      </c>
      <c r="L788" t="inlineStr">
        <is>
          <t>Q3</t>
        </is>
      </c>
      <c r="M788" t="n">
        <v>2024</v>
      </c>
      <c r="N788" s="22" t="n">
        <v>45474</v>
      </c>
      <c r="O788" s="24" t="n">
        <v>0.9227709645343056</v>
      </c>
      <c r="P788" s="23" t="n">
        <v>-23067</v>
      </c>
    </row>
    <row r="789">
      <c r="A789" t="inlineStr">
        <is>
          <t>Concor 10 MG</t>
        </is>
      </c>
      <c r="B789" t="inlineStr">
        <is>
          <t>Alexandria 1</t>
        </is>
      </c>
      <c r="C789" s="22" t="n">
        <v>45505</v>
      </c>
      <c r="D789" t="inlineStr">
        <is>
          <t>Ahmed Hassan</t>
        </is>
      </c>
      <c r="E789" t="n">
        <v>99</v>
      </c>
      <c r="F789" t="n">
        <v>2616</v>
      </c>
      <c r="G789" t="n">
        <v>2642</v>
      </c>
      <c r="H789" s="23" t="n">
        <v>258984</v>
      </c>
      <c r="I789" s="23" t="n">
        <v>261558</v>
      </c>
      <c r="J789" t="inlineStr">
        <is>
          <t>Aug</t>
        </is>
      </c>
      <c r="K789" t="n">
        <v>8</v>
      </c>
      <c r="L789" t="inlineStr">
        <is>
          <t>Q3</t>
        </is>
      </c>
      <c r="M789" t="n">
        <v>2024</v>
      </c>
      <c r="N789" s="22" t="n">
        <v>45505</v>
      </c>
      <c r="O789" s="24" t="n">
        <v>0.9901589704769115</v>
      </c>
      <c r="P789" s="23" t="n">
        <v>-2574</v>
      </c>
    </row>
    <row r="790">
      <c r="A790" t="inlineStr">
        <is>
          <t>Concor 10 MG</t>
        </is>
      </c>
      <c r="B790" t="inlineStr">
        <is>
          <t>Alexandria 1</t>
        </is>
      </c>
      <c r="C790" s="22" t="n">
        <v>45536</v>
      </c>
      <c r="D790" t="inlineStr">
        <is>
          <t>Ahmed Hassan</t>
        </is>
      </c>
      <c r="E790" t="n">
        <v>99</v>
      </c>
      <c r="F790" t="n">
        <v>3858</v>
      </c>
      <c r="G790" t="n">
        <v>3757</v>
      </c>
      <c r="H790" s="23" t="n">
        <v>381942</v>
      </c>
      <c r="I790" s="23" t="n">
        <v>371943</v>
      </c>
      <c r="J790" t="inlineStr">
        <is>
          <t>Sep</t>
        </is>
      </c>
      <c r="K790" t="n">
        <v>9</v>
      </c>
      <c r="L790" t="inlineStr">
        <is>
          <t>Q3</t>
        </is>
      </c>
      <c r="M790" t="n">
        <v>2024</v>
      </c>
      <c r="N790" s="22" t="n">
        <v>45536</v>
      </c>
      <c r="O790" s="24" t="n">
        <v>1.026883151450626</v>
      </c>
      <c r="P790" s="23" t="n">
        <v>9999</v>
      </c>
    </row>
    <row r="791">
      <c r="A791" t="inlineStr">
        <is>
          <t>Concor 10 MG</t>
        </is>
      </c>
      <c r="B791" t="inlineStr">
        <is>
          <t>Alexandria 1</t>
        </is>
      </c>
      <c r="C791" s="22" t="n">
        <v>45566</v>
      </c>
      <c r="D791" t="inlineStr">
        <is>
          <t>Ahmed Hassan</t>
        </is>
      </c>
      <c r="E791" t="n">
        <v>99</v>
      </c>
      <c r="F791" t="n">
        <v>3906</v>
      </c>
      <c r="G791" t="n">
        <v>3643</v>
      </c>
      <c r="H791" s="23" t="n">
        <v>386694</v>
      </c>
      <c r="I791" s="23" t="n">
        <v>360657</v>
      </c>
      <c r="J791" t="inlineStr">
        <is>
          <t>Oct</t>
        </is>
      </c>
      <c r="K791" t="n">
        <v>10</v>
      </c>
      <c r="L791" t="inlineStr">
        <is>
          <t>Q4</t>
        </is>
      </c>
      <c r="M791" t="n">
        <v>2024</v>
      </c>
      <c r="N791" s="22" t="n">
        <v>45566</v>
      </c>
      <c r="O791" s="24" t="n">
        <v>1.072193247323634</v>
      </c>
      <c r="P791" s="23" t="n">
        <v>26037</v>
      </c>
    </row>
    <row r="792">
      <c r="A792" t="inlineStr">
        <is>
          <t>Concor 10 MG</t>
        </is>
      </c>
      <c r="B792" t="inlineStr">
        <is>
          <t>Alexandria 1</t>
        </is>
      </c>
      <c r="C792" s="22" t="n">
        <v>45597</v>
      </c>
      <c r="D792" t="inlineStr">
        <is>
          <t>Ahmed Hassan</t>
        </is>
      </c>
      <c r="E792" t="n">
        <v>99</v>
      </c>
      <c r="F792" t="n">
        <v>3562</v>
      </c>
      <c r="G792" t="n">
        <v>3434</v>
      </c>
      <c r="H792" s="23" t="n">
        <v>352638</v>
      </c>
      <c r="I792" s="23" t="n">
        <v>339966</v>
      </c>
      <c r="J792" t="inlineStr">
        <is>
          <t>Nov</t>
        </is>
      </c>
      <c r="K792" t="n">
        <v>11</v>
      </c>
      <c r="L792" t="inlineStr">
        <is>
          <t>Q4</t>
        </is>
      </c>
      <c r="M792" t="n">
        <v>2024</v>
      </c>
      <c r="N792" s="22" t="n">
        <v>45597</v>
      </c>
      <c r="O792" s="24" t="n">
        <v>1.037274315666861</v>
      </c>
      <c r="P792" s="23" t="n">
        <v>12672</v>
      </c>
    </row>
    <row r="793">
      <c r="A793" t="inlineStr">
        <is>
          <t>Concor 10 MG</t>
        </is>
      </c>
      <c r="B793" t="inlineStr">
        <is>
          <t>Alexandria 1</t>
        </is>
      </c>
      <c r="C793" s="22" t="n">
        <v>45627</v>
      </c>
      <c r="D793" t="inlineStr">
        <is>
          <t>Ahmed Hassan</t>
        </is>
      </c>
      <c r="E793" t="n">
        <v>99</v>
      </c>
      <c r="F793" t="n">
        <v>3469</v>
      </c>
      <c r="G793" t="n">
        <v>3409</v>
      </c>
      <c r="H793" s="23" t="n">
        <v>343431</v>
      </c>
      <c r="I793" s="23" t="n">
        <v>337491</v>
      </c>
      <c r="J793" t="inlineStr">
        <is>
          <t>Dec</t>
        </is>
      </c>
      <c r="K793" t="n">
        <v>12</v>
      </c>
      <c r="L793" t="inlineStr">
        <is>
          <t>Q4</t>
        </is>
      </c>
      <c r="M793" t="n">
        <v>2024</v>
      </c>
      <c r="N793" s="22" t="n">
        <v>45627</v>
      </c>
      <c r="O793" s="24" t="n">
        <v>1.017600469345849</v>
      </c>
      <c r="P793" s="23" t="n">
        <v>5940</v>
      </c>
    </row>
    <row r="794">
      <c r="A794" t="inlineStr">
        <is>
          <t>Concor 10 MG</t>
        </is>
      </c>
      <c r="B794" t="inlineStr">
        <is>
          <t>Alexandria 2</t>
        </is>
      </c>
      <c r="C794" s="22" t="n">
        <v>45292</v>
      </c>
      <c r="D794" t="inlineStr">
        <is>
          <t>Amira Mostafa</t>
        </is>
      </c>
      <c r="E794" t="n">
        <v>99</v>
      </c>
      <c r="F794" t="n">
        <v>3765</v>
      </c>
      <c r="G794" t="n">
        <v>2800</v>
      </c>
      <c r="H794" s="23" t="n">
        <v>372735</v>
      </c>
      <c r="I794" s="23" t="n">
        <v>277200</v>
      </c>
      <c r="J794" t="inlineStr">
        <is>
          <t>Jan</t>
        </is>
      </c>
      <c r="K794" t="n">
        <v>1</v>
      </c>
      <c r="L794" t="inlineStr">
        <is>
          <t>Q1</t>
        </is>
      </c>
      <c r="M794" t="n">
        <v>2024</v>
      </c>
      <c r="N794" s="22" t="n">
        <v>45292</v>
      </c>
      <c r="O794" s="24" t="n">
        <v>1.344642857142857</v>
      </c>
      <c r="P794" s="23" t="n">
        <v>95535</v>
      </c>
    </row>
    <row r="795">
      <c r="A795" t="inlineStr">
        <is>
          <t>Concor 10 MG</t>
        </is>
      </c>
      <c r="B795" t="inlineStr">
        <is>
          <t>Alexandria 2</t>
        </is>
      </c>
      <c r="C795" s="22" t="n">
        <v>45323</v>
      </c>
      <c r="D795" t="inlineStr">
        <is>
          <t>Amira Mostafa</t>
        </is>
      </c>
      <c r="E795" t="n">
        <v>99</v>
      </c>
      <c r="F795" t="n">
        <v>3486</v>
      </c>
      <c r="G795" t="n">
        <v>3545</v>
      </c>
      <c r="H795" s="23" t="n">
        <v>345114</v>
      </c>
      <c r="I795" s="23" t="n">
        <v>350955</v>
      </c>
      <c r="J795" t="inlineStr">
        <is>
          <t>Feb</t>
        </is>
      </c>
      <c r="K795" t="n">
        <v>2</v>
      </c>
      <c r="L795" t="inlineStr">
        <is>
          <t>Q1</t>
        </is>
      </c>
      <c r="M795" t="n">
        <v>2024</v>
      </c>
      <c r="N795" s="22" t="n">
        <v>45323</v>
      </c>
      <c r="O795" s="24" t="n">
        <v>0.9833568406205924</v>
      </c>
      <c r="P795" s="23" t="n">
        <v>-5841</v>
      </c>
    </row>
    <row r="796">
      <c r="A796" t="inlineStr">
        <is>
          <t>Concor 10 MG</t>
        </is>
      </c>
      <c r="B796" t="inlineStr">
        <is>
          <t>Alexandria 2</t>
        </is>
      </c>
      <c r="C796" s="22" t="n">
        <v>45352</v>
      </c>
      <c r="D796" t="inlineStr">
        <is>
          <t>Amira Mostafa</t>
        </is>
      </c>
      <c r="E796" t="n">
        <v>99</v>
      </c>
      <c r="F796" t="n">
        <v>3290</v>
      </c>
      <c r="G796" t="n">
        <v>3434</v>
      </c>
      <c r="H796" s="23" t="n">
        <v>325710</v>
      </c>
      <c r="I796" s="23" t="n">
        <v>339966</v>
      </c>
      <c r="J796" t="inlineStr">
        <is>
          <t>Mar</t>
        </is>
      </c>
      <c r="K796" t="n">
        <v>3</v>
      </c>
      <c r="L796" t="inlineStr">
        <is>
          <t>Q1</t>
        </is>
      </c>
      <c r="M796" t="n">
        <v>2024</v>
      </c>
      <c r="N796" s="22" t="n">
        <v>45352</v>
      </c>
      <c r="O796" s="24" t="n">
        <v>0.9580663948747816</v>
      </c>
      <c r="P796" s="23" t="n">
        <v>-14256</v>
      </c>
    </row>
    <row r="797">
      <c r="A797" t="inlineStr">
        <is>
          <t>Concor 10 MG</t>
        </is>
      </c>
      <c r="B797" t="inlineStr">
        <is>
          <t>Alexandria 2</t>
        </is>
      </c>
      <c r="C797" s="22" t="n">
        <v>45383</v>
      </c>
      <c r="D797" t="inlineStr">
        <is>
          <t>Amira Mostafa</t>
        </is>
      </c>
      <c r="E797" t="n">
        <v>99</v>
      </c>
      <c r="F797" t="n">
        <v>1876</v>
      </c>
      <c r="G797" t="n">
        <v>2140</v>
      </c>
      <c r="H797" s="23" t="n">
        <v>185724</v>
      </c>
      <c r="I797" s="23" t="n">
        <v>211860</v>
      </c>
      <c r="J797" t="inlineStr">
        <is>
          <t>Apr</t>
        </is>
      </c>
      <c r="K797" t="n">
        <v>4</v>
      </c>
      <c r="L797" t="inlineStr">
        <is>
          <t>Q2</t>
        </is>
      </c>
      <c r="M797" t="n">
        <v>2024</v>
      </c>
      <c r="N797" s="22" t="n">
        <v>45383</v>
      </c>
      <c r="O797" s="24" t="n">
        <v>0.8766355140186916</v>
      </c>
      <c r="P797" s="23" t="n">
        <v>-26136</v>
      </c>
    </row>
    <row r="798">
      <c r="A798" t="inlineStr">
        <is>
          <t>Concor 10 MG</t>
        </is>
      </c>
      <c r="B798" t="inlineStr">
        <is>
          <t>Alexandria 2</t>
        </is>
      </c>
      <c r="C798" s="22" t="n">
        <v>45413</v>
      </c>
      <c r="D798" t="inlineStr">
        <is>
          <t>Amira Mostafa</t>
        </is>
      </c>
      <c r="E798" t="n">
        <v>99</v>
      </c>
      <c r="F798" t="n">
        <v>3200</v>
      </c>
      <c r="G798" t="n">
        <v>3928</v>
      </c>
      <c r="H798" s="23" t="n">
        <v>316800</v>
      </c>
      <c r="I798" s="23" t="n">
        <v>388872</v>
      </c>
      <c r="J798" t="inlineStr">
        <is>
          <t>May</t>
        </is>
      </c>
      <c r="K798" t="n">
        <v>5</v>
      </c>
      <c r="L798" t="inlineStr">
        <is>
          <t>Q2</t>
        </is>
      </c>
      <c r="M798" t="n">
        <v>2024</v>
      </c>
      <c r="N798" s="22" t="n">
        <v>45413</v>
      </c>
      <c r="O798" s="24" t="n">
        <v>0.814663951120163</v>
      </c>
      <c r="P798" s="23" t="n">
        <v>-72072</v>
      </c>
    </row>
    <row r="799">
      <c r="A799" t="inlineStr">
        <is>
          <t>Concor 10 MG</t>
        </is>
      </c>
      <c r="B799" t="inlineStr">
        <is>
          <t>Alexandria 2</t>
        </is>
      </c>
      <c r="C799" s="22" t="n">
        <v>45444</v>
      </c>
      <c r="D799" t="inlineStr">
        <is>
          <t>Amira Mostafa</t>
        </is>
      </c>
      <c r="E799" t="n">
        <v>99</v>
      </c>
      <c r="F799" t="n">
        <v>3141</v>
      </c>
      <c r="G799" t="n">
        <v>2935</v>
      </c>
      <c r="H799" s="23" t="n">
        <v>310959</v>
      </c>
      <c r="I799" s="23" t="n">
        <v>290565</v>
      </c>
      <c r="J799" t="inlineStr">
        <is>
          <t>Jun</t>
        </is>
      </c>
      <c r="K799" t="n">
        <v>6</v>
      </c>
      <c r="L799" t="inlineStr">
        <is>
          <t>Q2</t>
        </is>
      </c>
      <c r="M799" t="n">
        <v>2024</v>
      </c>
      <c r="N799" s="22" t="n">
        <v>45444</v>
      </c>
      <c r="O799" s="24" t="n">
        <v>1.070187393526405</v>
      </c>
      <c r="P799" s="23" t="n">
        <v>20394</v>
      </c>
    </row>
    <row r="800">
      <c r="A800" t="inlineStr">
        <is>
          <t>Concor 10 MG</t>
        </is>
      </c>
      <c r="B800" t="inlineStr">
        <is>
          <t>Alexandria 2</t>
        </is>
      </c>
      <c r="C800" s="22" t="n">
        <v>45474</v>
      </c>
      <c r="D800" t="inlineStr">
        <is>
          <t>Amira Mostafa</t>
        </is>
      </c>
      <c r="E800" t="n">
        <v>99</v>
      </c>
      <c r="F800" t="n">
        <v>2031</v>
      </c>
      <c r="G800" t="n">
        <v>2346</v>
      </c>
      <c r="H800" s="23" t="n">
        <v>201069</v>
      </c>
      <c r="I800" s="23" t="n">
        <v>232254</v>
      </c>
      <c r="J800" t="inlineStr">
        <is>
          <t>Jul</t>
        </is>
      </c>
      <c r="K800" t="n">
        <v>7</v>
      </c>
      <c r="L800" t="inlineStr">
        <is>
          <t>Q3</t>
        </is>
      </c>
      <c r="M800" t="n">
        <v>2024</v>
      </c>
      <c r="N800" s="22" t="n">
        <v>45474</v>
      </c>
      <c r="O800" s="24" t="n">
        <v>0.8657289002557544</v>
      </c>
      <c r="P800" s="23" t="n">
        <v>-31185</v>
      </c>
    </row>
    <row r="801">
      <c r="A801" t="inlineStr">
        <is>
          <t>Concor 10 MG</t>
        </is>
      </c>
      <c r="B801" t="inlineStr">
        <is>
          <t>Alexandria 2</t>
        </is>
      </c>
      <c r="C801" s="22" t="n">
        <v>45505</v>
      </c>
      <c r="D801" t="inlineStr">
        <is>
          <t>Amira Mostafa</t>
        </is>
      </c>
      <c r="E801" t="n">
        <v>99</v>
      </c>
      <c r="F801" t="n">
        <v>3641</v>
      </c>
      <c r="G801" t="n">
        <v>3492</v>
      </c>
      <c r="H801" s="23" t="n">
        <v>360459</v>
      </c>
      <c r="I801" s="23" t="n">
        <v>345708</v>
      </c>
      <c r="J801" t="inlineStr">
        <is>
          <t>Aug</t>
        </is>
      </c>
      <c r="K801" t="n">
        <v>8</v>
      </c>
      <c r="L801" t="inlineStr">
        <is>
          <t>Q3</t>
        </is>
      </c>
      <c r="M801" t="n">
        <v>2024</v>
      </c>
      <c r="N801" s="22" t="n">
        <v>45505</v>
      </c>
      <c r="O801" s="24" t="n">
        <v>1.042668957617411</v>
      </c>
      <c r="P801" s="23" t="n">
        <v>14751</v>
      </c>
    </row>
    <row r="802">
      <c r="A802" t="inlineStr">
        <is>
          <t>Concor 10 MG</t>
        </is>
      </c>
      <c r="B802" t="inlineStr">
        <is>
          <t>Alexandria 2</t>
        </is>
      </c>
      <c r="C802" s="22" t="n">
        <v>45536</v>
      </c>
      <c r="D802" t="inlineStr">
        <is>
          <t>Amira Mostafa</t>
        </is>
      </c>
      <c r="E802" t="n">
        <v>99</v>
      </c>
      <c r="F802" t="n">
        <v>2968</v>
      </c>
      <c r="G802" t="n">
        <v>3341</v>
      </c>
      <c r="H802" s="23" t="n">
        <v>293832</v>
      </c>
      <c r="I802" s="23" t="n">
        <v>330759</v>
      </c>
      <c r="J802" t="inlineStr">
        <is>
          <t>Sep</t>
        </is>
      </c>
      <c r="K802" t="n">
        <v>9</v>
      </c>
      <c r="L802" t="inlineStr">
        <is>
          <t>Q3</t>
        </is>
      </c>
      <c r="M802" t="n">
        <v>2024</v>
      </c>
      <c r="N802" s="22" t="n">
        <v>45536</v>
      </c>
      <c r="O802" s="24" t="n">
        <v>0.888356779407363</v>
      </c>
      <c r="P802" s="23" t="n">
        <v>-36927</v>
      </c>
    </row>
    <row r="803">
      <c r="A803" t="inlineStr">
        <is>
          <t>Concor 10 MG</t>
        </is>
      </c>
      <c r="B803" t="inlineStr">
        <is>
          <t>Alexandria 2</t>
        </is>
      </c>
      <c r="C803" s="22" t="n">
        <v>45566</v>
      </c>
      <c r="D803" t="inlineStr">
        <is>
          <t>Amira Mostafa</t>
        </is>
      </c>
      <c r="E803" t="n">
        <v>99</v>
      </c>
      <c r="F803" t="n">
        <v>2612</v>
      </c>
      <c r="G803" t="n">
        <v>2830</v>
      </c>
      <c r="H803" s="23" t="n">
        <v>258588</v>
      </c>
      <c r="I803" s="23" t="n">
        <v>280170</v>
      </c>
      <c r="J803" t="inlineStr">
        <is>
          <t>Oct</t>
        </is>
      </c>
      <c r="K803" t="n">
        <v>10</v>
      </c>
      <c r="L803" t="inlineStr">
        <is>
          <t>Q4</t>
        </is>
      </c>
      <c r="M803" t="n">
        <v>2024</v>
      </c>
      <c r="N803" s="22" t="n">
        <v>45566</v>
      </c>
      <c r="O803" s="24" t="n">
        <v>0.9229681978798586</v>
      </c>
      <c r="P803" s="23" t="n">
        <v>-21582</v>
      </c>
    </row>
    <row r="804">
      <c r="A804" t="inlineStr">
        <is>
          <t>Concor 10 MG</t>
        </is>
      </c>
      <c r="B804" t="inlineStr">
        <is>
          <t>Alexandria 2</t>
        </is>
      </c>
      <c r="C804" s="22" t="n">
        <v>45597</v>
      </c>
      <c r="D804" t="inlineStr">
        <is>
          <t>Amira Mostafa</t>
        </is>
      </c>
      <c r="E804" t="n">
        <v>99</v>
      </c>
      <c r="F804" t="n">
        <v>3538</v>
      </c>
      <c r="G804" t="n">
        <v>3858</v>
      </c>
      <c r="H804" s="23" t="n">
        <v>350262</v>
      </c>
      <c r="I804" s="23" t="n">
        <v>381942</v>
      </c>
      <c r="J804" t="inlineStr">
        <is>
          <t>Nov</t>
        </is>
      </c>
      <c r="K804" t="n">
        <v>11</v>
      </c>
      <c r="L804" t="inlineStr">
        <is>
          <t>Q4</t>
        </is>
      </c>
      <c r="M804" t="n">
        <v>2024</v>
      </c>
      <c r="N804" s="22" t="n">
        <v>45597</v>
      </c>
      <c r="O804" s="24" t="n">
        <v>0.9170554691550026</v>
      </c>
      <c r="P804" s="23" t="n">
        <v>-31680</v>
      </c>
    </row>
    <row r="805">
      <c r="A805" t="inlineStr">
        <is>
          <t>Concor 10 MG</t>
        </is>
      </c>
      <c r="B805" t="inlineStr">
        <is>
          <t>Alexandria 2</t>
        </is>
      </c>
      <c r="C805" s="22" t="n">
        <v>45627</v>
      </c>
      <c r="D805" t="inlineStr">
        <is>
          <t>Amira Mostafa</t>
        </is>
      </c>
      <c r="E805" t="n">
        <v>99</v>
      </c>
      <c r="F805" t="n">
        <v>3193</v>
      </c>
      <c r="G805" t="n">
        <v>3523</v>
      </c>
      <c r="H805" s="23" t="n">
        <v>316107</v>
      </c>
      <c r="I805" s="23" t="n">
        <v>348777</v>
      </c>
      <c r="J805" t="inlineStr">
        <is>
          <t>Dec</t>
        </is>
      </c>
      <c r="K805" t="n">
        <v>12</v>
      </c>
      <c r="L805" t="inlineStr">
        <is>
          <t>Q4</t>
        </is>
      </c>
      <c r="M805" t="n">
        <v>2024</v>
      </c>
      <c r="N805" s="22" t="n">
        <v>45627</v>
      </c>
      <c r="O805" s="24" t="n">
        <v>0.9063298325290945</v>
      </c>
      <c r="P805" s="23" t="n">
        <v>-32670</v>
      </c>
    </row>
    <row r="806">
      <c r="A806" t="inlineStr">
        <is>
          <t>Concor 10 MG</t>
        </is>
      </c>
      <c r="B806" t="inlineStr">
        <is>
          <t>Cairo 1</t>
        </is>
      </c>
      <c r="C806" s="22" t="n">
        <v>45292</v>
      </c>
      <c r="D806" t="inlineStr">
        <is>
          <t>Fatma Ali</t>
        </is>
      </c>
      <c r="E806" t="n">
        <v>99</v>
      </c>
      <c r="F806" t="n">
        <v>3361</v>
      </c>
      <c r="G806" t="n">
        <v>3837</v>
      </c>
      <c r="H806" s="23" t="n">
        <v>332739</v>
      </c>
      <c r="I806" s="23" t="n">
        <v>379863</v>
      </c>
      <c r="J806" t="inlineStr">
        <is>
          <t>Jan</t>
        </is>
      </c>
      <c r="K806" t="n">
        <v>1</v>
      </c>
      <c r="L806" t="inlineStr">
        <is>
          <t>Q1</t>
        </is>
      </c>
      <c r="M806" t="n">
        <v>2024</v>
      </c>
      <c r="N806" s="22" t="n">
        <v>45292</v>
      </c>
      <c r="O806" s="24" t="n">
        <v>0.8759447485014334</v>
      </c>
      <c r="P806" s="23" t="n">
        <v>-47124</v>
      </c>
    </row>
    <row r="807">
      <c r="A807" t="inlineStr">
        <is>
          <t>Concor 10 MG</t>
        </is>
      </c>
      <c r="B807" t="inlineStr">
        <is>
          <t>Cairo 1</t>
        </is>
      </c>
      <c r="C807" s="22" t="n">
        <v>45323</v>
      </c>
      <c r="D807" t="inlineStr">
        <is>
          <t>Fatma Ali</t>
        </is>
      </c>
      <c r="E807" t="n">
        <v>99</v>
      </c>
      <c r="F807" t="n">
        <v>3825</v>
      </c>
      <c r="G807" t="n">
        <v>3825</v>
      </c>
      <c r="H807" s="23" t="n">
        <v>378675</v>
      </c>
      <c r="I807" s="23" t="n">
        <v>378675</v>
      </c>
      <c r="J807" t="inlineStr">
        <is>
          <t>Feb</t>
        </is>
      </c>
      <c r="K807" t="n">
        <v>2</v>
      </c>
      <c r="L807" t="inlineStr">
        <is>
          <t>Q1</t>
        </is>
      </c>
      <c r="M807" t="n">
        <v>2024</v>
      </c>
      <c r="N807" s="22" t="n">
        <v>45323</v>
      </c>
      <c r="O807" s="24" t="n">
        <v>1</v>
      </c>
      <c r="P807" s="23" t="n">
        <v>0</v>
      </c>
    </row>
    <row r="808">
      <c r="A808" t="inlineStr">
        <is>
          <t>Concor 10 MG</t>
        </is>
      </c>
      <c r="B808" t="inlineStr">
        <is>
          <t>Cairo 1</t>
        </is>
      </c>
      <c r="C808" s="22" t="n">
        <v>45352</v>
      </c>
      <c r="D808" t="inlineStr">
        <is>
          <t>Fatma Ali</t>
        </is>
      </c>
      <c r="E808" t="n">
        <v>99</v>
      </c>
      <c r="F808" t="n">
        <v>2502</v>
      </c>
      <c r="G808" t="n">
        <v>2349</v>
      </c>
      <c r="H808" s="23" t="n">
        <v>247698</v>
      </c>
      <c r="I808" s="23" t="n">
        <v>232551</v>
      </c>
      <c r="J808" t="inlineStr">
        <is>
          <t>Mar</t>
        </is>
      </c>
      <c r="K808" t="n">
        <v>3</v>
      </c>
      <c r="L808" t="inlineStr">
        <is>
          <t>Q1</t>
        </is>
      </c>
      <c r="M808" t="n">
        <v>2024</v>
      </c>
      <c r="N808" s="22" t="n">
        <v>45352</v>
      </c>
      <c r="O808" s="24" t="n">
        <v>1.065134099616858</v>
      </c>
      <c r="P808" s="23" t="n">
        <v>15147</v>
      </c>
    </row>
    <row r="809">
      <c r="A809" t="inlineStr">
        <is>
          <t>Concor 10 MG</t>
        </is>
      </c>
      <c r="B809" t="inlineStr">
        <is>
          <t>Cairo 1</t>
        </is>
      </c>
      <c r="C809" s="22" t="n">
        <v>45383</v>
      </c>
      <c r="D809" t="inlineStr">
        <is>
          <t>Fatma Ali</t>
        </is>
      </c>
      <c r="E809" t="n">
        <v>99</v>
      </c>
      <c r="F809" t="n">
        <v>3034</v>
      </c>
      <c r="G809" t="n">
        <v>3399</v>
      </c>
      <c r="H809" s="23" t="n">
        <v>300366</v>
      </c>
      <c r="I809" s="23" t="n">
        <v>336501</v>
      </c>
      <c r="J809" t="inlineStr">
        <is>
          <t>Apr</t>
        </is>
      </c>
      <c r="K809" t="n">
        <v>4</v>
      </c>
      <c r="L809" t="inlineStr">
        <is>
          <t>Q2</t>
        </is>
      </c>
      <c r="M809" t="n">
        <v>2024</v>
      </c>
      <c r="N809" s="22" t="n">
        <v>45383</v>
      </c>
      <c r="O809" s="24" t="n">
        <v>0.892615475139747</v>
      </c>
      <c r="P809" s="23" t="n">
        <v>-36135</v>
      </c>
    </row>
    <row r="810">
      <c r="A810" t="inlineStr">
        <is>
          <t>Concor 10 MG</t>
        </is>
      </c>
      <c r="B810" t="inlineStr">
        <is>
          <t>Cairo 1</t>
        </is>
      </c>
      <c r="C810" s="22" t="n">
        <v>45413</v>
      </c>
      <c r="D810" t="inlineStr">
        <is>
          <t>Fatma Ali</t>
        </is>
      </c>
      <c r="E810" t="n">
        <v>99</v>
      </c>
      <c r="F810" t="n">
        <v>2912</v>
      </c>
      <c r="G810" t="n">
        <v>3072</v>
      </c>
      <c r="H810" s="23" t="n">
        <v>288288</v>
      </c>
      <c r="I810" s="23" t="n">
        <v>304128</v>
      </c>
      <c r="J810" t="inlineStr">
        <is>
          <t>May</t>
        </is>
      </c>
      <c r="K810" t="n">
        <v>5</v>
      </c>
      <c r="L810" t="inlineStr">
        <is>
          <t>Q2</t>
        </is>
      </c>
      <c r="M810" t="n">
        <v>2024</v>
      </c>
      <c r="N810" s="22" t="n">
        <v>45413</v>
      </c>
      <c r="O810" s="24" t="n">
        <v>0.9479166666666666</v>
      </c>
      <c r="P810" s="23" t="n">
        <v>-15840</v>
      </c>
    </row>
    <row r="811">
      <c r="A811" t="inlineStr">
        <is>
          <t>Concor 10 MG</t>
        </is>
      </c>
      <c r="B811" t="inlineStr">
        <is>
          <t>Cairo 1</t>
        </is>
      </c>
      <c r="C811" s="22" t="n">
        <v>45444</v>
      </c>
      <c r="D811" t="inlineStr">
        <is>
          <t>Fatma Ali</t>
        </is>
      </c>
      <c r="E811" t="n">
        <v>99</v>
      </c>
      <c r="F811" t="n">
        <v>3281</v>
      </c>
      <c r="G811" t="n">
        <v>3249</v>
      </c>
      <c r="H811" s="23" t="n">
        <v>324819</v>
      </c>
      <c r="I811" s="23" t="n">
        <v>321651</v>
      </c>
      <c r="J811" t="inlineStr">
        <is>
          <t>Jun</t>
        </is>
      </c>
      <c r="K811" t="n">
        <v>6</v>
      </c>
      <c r="L811" t="inlineStr">
        <is>
          <t>Q2</t>
        </is>
      </c>
      <c r="M811" t="n">
        <v>2024</v>
      </c>
      <c r="N811" s="22" t="n">
        <v>45444</v>
      </c>
      <c r="O811" s="24" t="n">
        <v>1.00984918436442</v>
      </c>
      <c r="P811" s="23" t="n">
        <v>3168</v>
      </c>
    </row>
    <row r="812">
      <c r="A812" t="inlineStr">
        <is>
          <t>Concor 10 MG</t>
        </is>
      </c>
      <c r="B812" t="inlineStr">
        <is>
          <t>Cairo 1</t>
        </is>
      </c>
      <c r="C812" s="22" t="n">
        <v>45474</v>
      </c>
      <c r="D812" t="inlineStr">
        <is>
          <t>Fatma Ali</t>
        </is>
      </c>
      <c r="E812" t="n">
        <v>99</v>
      </c>
      <c r="F812" t="n">
        <v>3902</v>
      </c>
      <c r="G812" t="n">
        <v>3620</v>
      </c>
      <c r="H812" s="23" t="n">
        <v>386298</v>
      </c>
      <c r="I812" s="23" t="n">
        <v>358380</v>
      </c>
      <c r="J812" t="inlineStr">
        <is>
          <t>Jul</t>
        </is>
      </c>
      <c r="K812" t="n">
        <v>7</v>
      </c>
      <c r="L812" t="inlineStr">
        <is>
          <t>Q3</t>
        </is>
      </c>
      <c r="M812" t="n">
        <v>2024</v>
      </c>
      <c r="N812" s="22" t="n">
        <v>45474</v>
      </c>
      <c r="O812" s="24" t="n">
        <v>1.077900552486188</v>
      </c>
      <c r="P812" s="23" t="n">
        <v>27918</v>
      </c>
    </row>
    <row r="813">
      <c r="A813" t="inlineStr">
        <is>
          <t>Concor 10 MG</t>
        </is>
      </c>
      <c r="B813" t="inlineStr">
        <is>
          <t>Cairo 1</t>
        </is>
      </c>
      <c r="C813" s="22" t="n">
        <v>45505</v>
      </c>
      <c r="D813" t="inlineStr">
        <is>
          <t>Fatma Ali</t>
        </is>
      </c>
      <c r="E813" t="n">
        <v>99</v>
      </c>
      <c r="F813" t="n">
        <v>3441</v>
      </c>
      <c r="G813" t="n">
        <v>3764</v>
      </c>
      <c r="H813" s="23" t="n">
        <v>340659</v>
      </c>
      <c r="I813" s="23" t="n">
        <v>372636</v>
      </c>
      <c r="J813" t="inlineStr">
        <is>
          <t>Aug</t>
        </is>
      </c>
      <c r="K813" t="n">
        <v>8</v>
      </c>
      <c r="L813" t="inlineStr">
        <is>
          <t>Q3</t>
        </is>
      </c>
      <c r="M813" t="n">
        <v>2024</v>
      </c>
      <c r="N813" s="22" t="n">
        <v>45505</v>
      </c>
      <c r="O813" s="24" t="n">
        <v>0.9141870350690755</v>
      </c>
      <c r="P813" s="23" t="n">
        <v>-31977</v>
      </c>
    </row>
    <row r="814">
      <c r="A814" t="inlineStr">
        <is>
          <t>Concor 10 MG</t>
        </is>
      </c>
      <c r="B814" t="inlineStr">
        <is>
          <t>Cairo 1</t>
        </is>
      </c>
      <c r="C814" s="22" t="n">
        <v>45536</v>
      </c>
      <c r="D814" t="inlineStr">
        <is>
          <t>Fatma Ali</t>
        </is>
      </c>
      <c r="E814" t="n">
        <v>99</v>
      </c>
      <c r="F814" t="n">
        <v>3110</v>
      </c>
      <c r="G814" t="n">
        <v>3585</v>
      </c>
      <c r="H814" s="23" t="n">
        <v>307890</v>
      </c>
      <c r="I814" s="23" t="n">
        <v>354915</v>
      </c>
      <c r="J814" t="inlineStr">
        <is>
          <t>Sep</t>
        </is>
      </c>
      <c r="K814" t="n">
        <v>9</v>
      </c>
      <c r="L814" t="inlineStr">
        <is>
          <t>Q3</t>
        </is>
      </c>
      <c r="M814" t="n">
        <v>2024</v>
      </c>
      <c r="N814" s="22" t="n">
        <v>45536</v>
      </c>
      <c r="O814" s="24" t="n">
        <v>0.8675034867503487</v>
      </c>
      <c r="P814" s="23" t="n">
        <v>-47025</v>
      </c>
    </row>
    <row r="815">
      <c r="A815" t="inlineStr">
        <is>
          <t>Concor 10 MG</t>
        </is>
      </c>
      <c r="B815" t="inlineStr">
        <is>
          <t>Cairo 1</t>
        </is>
      </c>
      <c r="C815" s="22" t="n">
        <v>45566</v>
      </c>
      <c r="D815" t="inlineStr">
        <is>
          <t>Fatma Ali</t>
        </is>
      </c>
      <c r="E815" t="n">
        <v>99</v>
      </c>
      <c r="F815" t="n">
        <v>2222</v>
      </c>
      <c r="G815" t="n">
        <v>2452</v>
      </c>
      <c r="H815" s="23" t="n">
        <v>219978</v>
      </c>
      <c r="I815" s="23" t="n">
        <v>242748</v>
      </c>
      <c r="J815" t="inlineStr">
        <is>
          <t>Oct</t>
        </is>
      </c>
      <c r="K815" t="n">
        <v>10</v>
      </c>
      <c r="L815" t="inlineStr">
        <is>
          <t>Q4</t>
        </is>
      </c>
      <c r="M815" t="n">
        <v>2024</v>
      </c>
      <c r="N815" s="22" t="n">
        <v>45566</v>
      </c>
      <c r="O815" s="24" t="n">
        <v>0.9061990212071778</v>
      </c>
      <c r="P815" s="23" t="n">
        <v>-22770</v>
      </c>
    </row>
    <row r="816">
      <c r="A816" t="inlineStr">
        <is>
          <t>Concor 10 MG</t>
        </is>
      </c>
      <c r="B816" t="inlineStr">
        <is>
          <t>Cairo 1</t>
        </is>
      </c>
      <c r="C816" s="22" t="n">
        <v>45597</v>
      </c>
      <c r="D816" t="inlineStr">
        <is>
          <t>Fatma Ali</t>
        </is>
      </c>
      <c r="E816" t="n">
        <v>99</v>
      </c>
      <c r="F816" t="n">
        <v>2334</v>
      </c>
      <c r="G816" t="n">
        <v>2347</v>
      </c>
      <c r="H816" s="23" t="n">
        <v>231066</v>
      </c>
      <c r="I816" s="23" t="n">
        <v>232353</v>
      </c>
      <c r="J816" t="inlineStr">
        <is>
          <t>Nov</t>
        </is>
      </c>
      <c r="K816" t="n">
        <v>11</v>
      </c>
      <c r="L816" t="inlineStr">
        <is>
          <t>Q4</t>
        </is>
      </c>
      <c r="M816" t="n">
        <v>2024</v>
      </c>
      <c r="N816" s="22" t="n">
        <v>45597</v>
      </c>
      <c r="O816" s="24" t="n">
        <v>0.9944610140605028</v>
      </c>
      <c r="P816" s="23" t="n">
        <v>-1287</v>
      </c>
    </row>
    <row r="817">
      <c r="A817" t="inlineStr">
        <is>
          <t>Concor 10 MG</t>
        </is>
      </c>
      <c r="B817" t="inlineStr">
        <is>
          <t>Cairo 1</t>
        </is>
      </c>
      <c r="C817" s="22" t="n">
        <v>45627</v>
      </c>
      <c r="D817" t="inlineStr">
        <is>
          <t>Fatma Ali</t>
        </is>
      </c>
      <c r="E817" t="n">
        <v>99</v>
      </c>
      <c r="F817" t="n">
        <v>2841</v>
      </c>
      <c r="G817" t="n">
        <v>2737</v>
      </c>
      <c r="H817" s="23" t="n">
        <v>281259</v>
      </c>
      <c r="I817" s="23" t="n">
        <v>270963</v>
      </c>
      <c r="J817" t="inlineStr">
        <is>
          <t>Dec</t>
        </is>
      </c>
      <c r="K817" t="n">
        <v>12</v>
      </c>
      <c r="L817" t="inlineStr">
        <is>
          <t>Q4</t>
        </is>
      </c>
      <c r="M817" t="n">
        <v>2024</v>
      </c>
      <c r="N817" s="22" t="n">
        <v>45627</v>
      </c>
      <c r="O817" s="24" t="n">
        <v>1.03799780781878</v>
      </c>
      <c r="P817" s="23" t="n">
        <v>10296</v>
      </c>
    </row>
    <row r="818">
      <c r="A818" t="inlineStr">
        <is>
          <t>Concor 10 MG</t>
        </is>
      </c>
      <c r="B818" t="inlineStr">
        <is>
          <t>Cairo 2</t>
        </is>
      </c>
      <c r="C818" s="22" t="n">
        <v>45292</v>
      </c>
      <c r="D818" t="inlineStr">
        <is>
          <t>Hassan El-Shamy</t>
        </is>
      </c>
      <c r="E818" t="n">
        <v>99</v>
      </c>
      <c r="F818" t="n">
        <v>2893</v>
      </c>
      <c r="G818" t="n">
        <v>2819</v>
      </c>
      <c r="H818" s="23" t="n">
        <v>286407</v>
      </c>
      <c r="I818" s="23" t="n">
        <v>279081</v>
      </c>
      <c r="J818" t="inlineStr">
        <is>
          <t>Jan</t>
        </is>
      </c>
      <c r="K818" t="n">
        <v>1</v>
      </c>
      <c r="L818" t="inlineStr">
        <is>
          <t>Q1</t>
        </is>
      </c>
      <c r="M818" t="n">
        <v>2024</v>
      </c>
      <c r="N818" s="22" t="n">
        <v>45292</v>
      </c>
      <c r="O818" s="24" t="n">
        <v>1.026250443419652</v>
      </c>
      <c r="P818" s="23" t="n">
        <v>7326</v>
      </c>
    </row>
    <row r="819">
      <c r="A819" t="inlineStr">
        <is>
          <t>Concor 10 MG</t>
        </is>
      </c>
      <c r="B819" t="inlineStr">
        <is>
          <t>Cairo 2</t>
        </is>
      </c>
      <c r="C819" s="22" t="n">
        <v>45323</v>
      </c>
      <c r="D819" t="inlineStr">
        <is>
          <t>Hassan El-Shamy</t>
        </is>
      </c>
      <c r="E819" t="n">
        <v>99</v>
      </c>
      <c r="F819" t="n">
        <v>2340</v>
      </c>
      <c r="G819" t="n">
        <v>2346</v>
      </c>
      <c r="H819" s="23" t="n">
        <v>231660</v>
      </c>
      <c r="I819" s="23" t="n">
        <v>232254</v>
      </c>
      <c r="J819" t="inlineStr">
        <is>
          <t>Feb</t>
        </is>
      </c>
      <c r="K819" t="n">
        <v>2</v>
      </c>
      <c r="L819" t="inlineStr">
        <is>
          <t>Q1</t>
        </is>
      </c>
      <c r="M819" t="n">
        <v>2024</v>
      </c>
      <c r="N819" s="22" t="n">
        <v>45323</v>
      </c>
      <c r="O819" s="24" t="n">
        <v>0.9974424552429667</v>
      </c>
      <c r="P819" s="23" t="n">
        <v>-594</v>
      </c>
    </row>
    <row r="820">
      <c r="A820" t="inlineStr">
        <is>
          <t>Concor 10 MG</t>
        </is>
      </c>
      <c r="B820" t="inlineStr">
        <is>
          <t>Cairo 2</t>
        </is>
      </c>
      <c r="C820" s="22" t="n">
        <v>45352</v>
      </c>
      <c r="D820" t="inlineStr">
        <is>
          <t>Hassan El-Shamy</t>
        </is>
      </c>
      <c r="E820" t="n">
        <v>99</v>
      </c>
      <c r="F820" t="n">
        <v>2623</v>
      </c>
      <c r="G820" t="n">
        <v>2752</v>
      </c>
      <c r="H820" s="23" t="n">
        <v>259677</v>
      </c>
      <c r="I820" s="23" t="n">
        <v>272448</v>
      </c>
      <c r="J820" t="inlineStr">
        <is>
          <t>Mar</t>
        </is>
      </c>
      <c r="K820" t="n">
        <v>3</v>
      </c>
      <c r="L820" t="inlineStr">
        <is>
          <t>Q1</t>
        </is>
      </c>
      <c r="M820" t="n">
        <v>2024</v>
      </c>
      <c r="N820" s="22" t="n">
        <v>45352</v>
      </c>
      <c r="O820" s="24" t="n">
        <v>0.953125</v>
      </c>
      <c r="P820" s="23" t="n">
        <v>-12771</v>
      </c>
    </row>
    <row r="821">
      <c r="A821" t="inlineStr">
        <is>
          <t>Concor 10 MG</t>
        </is>
      </c>
      <c r="B821" t="inlineStr">
        <is>
          <t>Cairo 2</t>
        </is>
      </c>
      <c r="C821" s="22" t="n">
        <v>45383</v>
      </c>
      <c r="D821" t="inlineStr">
        <is>
          <t>Hassan El-Shamy</t>
        </is>
      </c>
      <c r="E821" t="n">
        <v>99</v>
      </c>
      <c r="F821" t="n">
        <v>3425</v>
      </c>
      <c r="G821" t="n">
        <v>3780</v>
      </c>
      <c r="H821" s="23" t="n">
        <v>339075</v>
      </c>
      <c r="I821" s="23" t="n">
        <v>374220</v>
      </c>
      <c r="J821" t="inlineStr">
        <is>
          <t>Apr</t>
        </is>
      </c>
      <c r="K821" t="n">
        <v>4</v>
      </c>
      <c r="L821" t="inlineStr">
        <is>
          <t>Q2</t>
        </is>
      </c>
      <c r="M821" t="n">
        <v>2024</v>
      </c>
      <c r="N821" s="22" t="n">
        <v>45383</v>
      </c>
      <c r="O821" s="24" t="n">
        <v>0.906084656084656</v>
      </c>
      <c r="P821" s="23" t="n">
        <v>-35145</v>
      </c>
    </row>
    <row r="822">
      <c r="A822" t="inlineStr">
        <is>
          <t>Concor 10 MG</t>
        </is>
      </c>
      <c r="B822" t="inlineStr">
        <is>
          <t>Cairo 2</t>
        </is>
      </c>
      <c r="C822" s="22" t="n">
        <v>45413</v>
      </c>
      <c r="D822" t="inlineStr">
        <is>
          <t>Hassan El-Shamy</t>
        </is>
      </c>
      <c r="E822" t="n">
        <v>99</v>
      </c>
      <c r="F822" t="n">
        <v>2884</v>
      </c>
      <c r="G822" t="n">
        <v>2778</v>
      </c>
      <c r="H822" s="23" t="n">
        <v>285516</v>
      </c>
      <c r="I822" s="23" t="n">
        <v>275022</v>
      </c>
      <c r="J822" t="inlineStr">
        <is>
          <t>May</t>
        </is>
      </c>
      <c r="K822" t="n">
        <v>5</v>
      </c>
      <c r="L822" t="inlineStr">
        <is>
          <t>Q2</t>
        </is>
      </c>
      <c r="M822" t="n">
        <v>2024</v>
      </c>
      <c r="N822" s="22" t="n">
        <v>45413</v>
      </c>
      <c r="O822" s="24" t="n">
        <v>1.038156947444205</v>
      </c>
      <c r="P822" s="23" t="n">
        <v>10494</v>
      </c>
    </row>
    <row r="823">
      <c r="A823" t="inlineStr">
        <is>
          <t>Concor 10 MG</t>
        </is>
      </c>
      <c r="B823" t="inlineStr">
        <is>
          <t>Cairo 2</t>
        </is>
      </c>
      <c r="C823" s="22" t="n">
        <v>45444</v>
      </c>
      <c r="D823" t="inlineStr">
        <is>
          <t>Hassan El-Shamy</t>
        </is>
      </c>
      <c r="E823" t="n">
        <v>99</v>
      </c>
      <c r="F823" t="n">
        <v>2885</v>
      </c>
      <c r="G823" t="n">
        <v>3273</v>
      </c>
      <c r="H823" s="23" t="n">
        <v>285615</v>
      </c>
      <c r="I823" s="23" t="n">
        <v>324027</v>
      </c>
      <c r="J823" t="inlineStr">
        <is>
          <t>Jun</t>
        </is>
      </c>
      <c r="K823" t="n">
        <v>6</v>
      </c>
      <c r="L823" t="inlineStr">
        <is>
          <t>Q2</t>
        </is>
      </c>
      <c r="M823" t="n">
        <v>2024</v>
      </c>
      <c r="N823" s="22" t="n">
        <v>45444</v>
      </c>
      <c r="O823" s="24" t="n">
        <v>0.8814543232508402</v>
      </c>
      <c r="P823" s="23" t="n">
        <v>-38412</v>
      </c>
    </row>
    <row r="824">
      <c r="A824" t="inlineStr">
        <is>
          <t>Concor 10 MG</t>
        </is>
      </c>
      <c r="B824" t="inlineStr">
        <is>
          <t>Cairo 2</t>
        </is>
      </c>
      <c r="C824" s="22" t="n">
        <v>45474</v>
      </c>
      <c r="D824" t="inlineStr">
        <is>
          <t>Hassan El-Shamy</t>
        </is>
      </c>
      <c r="E824" t="n">
        <v>99</v>
      </c>
      <c r="F824" t="n">
        <v>3624</v>
      </c>
      <c r="G824" t="n">
        <v>3774</v>
      </c>
      <c r="H824" s="23" t="n">
        <v>358776</v>
      </c>
      <c r="I824" s="23" t="n">
        <v>373626</v>
      </c>
      <c r="J824" t="inlineStr">
        <is>
          <t>Jul</t>
        </is>
      </c>
      <c r="K824" t="n">
        <v>7</v>
      </c>
      <c r="L824" t="inlineStr">
        <is>
          <t>Q3</t>
        </is>
      </c>
      <c r="M824" t="n">
        <v>2024</v>
      </c>
      <c r="N824" s="22" t="n">
        <v>45474</v>
      </c>
      <c r="O824" s="24" t="n">
        <v>0.9602543720190779</v>
      </c>
      <c r="P824" s="23" t="n">
        <v>-14850</v>
      </c>
    </row>
    <row r="825">
      <c r="A825" t="inlineStr">
        <is>
          <t>Concor 10 MG</t>
        </is>
      </c>
      <c r="B825" t="inlineStr">
        <is>
          <t>Cairo 2</t>
        </is>
      </c>
      <c r="C825" s="22" t="n">
        <v>45505</v>
      </c>
      <c r="D825" t="inlineStr">
        <is>
          <t>Hassan El-Shamy</t>
        </is>
      </c>
      <c r="E825" t="n">
        <v>99</v>
      </c>
      <c r="F825" t="n">
        <v>3225</v>
      </c>
      <c r="G825" t="n">
        <v>3141</v>
      </c>
      <c r="H825" s="23" t="n">
        <v>319275</v>
      </c>
      <c r="I825" s="23" t="n">
        <v>310959</v>
      </c>
      <c r="J825" t="inlineStr">
        <is>
          <t>Aug</t>
        </is>
      </c>
      <c r="K825" t="n">
        <v>8</v>
      </c>
      <c r="L825" t="inlineStr">
        <is>
          <t>Q3</t>
        </is>
      </c>
      <c r="M825" t="n">
        <v>2024</v>
      </c>
      <c r="N825" s="22" t="n">
        <v>45505</v>
      </c>
      <c r="O825" s="24" t="n">
        <v>1.026743075453677</v>
      </c>
      <c r="P825" s="23" t="n">
        <v>8316</v>
      </c>
    </row>
    <row r="826">
      <c r="A826" t="inlineStr">
        <is>
          <t>Concor 10 MG</t>
        </is>
      </c>
      <c r="B826" t="inlineStr">
        <is>
          <t>Cairo 2</t>
        </is>
      </c>
      <c r="C826" s="22" t="n">
        <v>45536</v>
      </c>
      <c r="D826" t="inlineStr">
        <is>
          <t>Hassan El-Shamy</t>
        </is>
      </c>
      <c r="E826" t="n">
        <v>99</v>
      </c>
      <c r="F826" t="n">
        <v>3200</v>
      </c>
      <c r="G826" t="n">
        <v>3836</v>
      </c>
      <c r="H826" s="23" t="n">
        <v>316800</v>
      </c>
      <c r="I826" s="23" t="n">
        <v>379764</v>
      </c>
      <c r="J826" t="inlineStr">
        <is>
          <t>Sep</t>
        </is>
      </c>
      <c r="K826" t="n">
        <v>9</v>
      </c>
      <c r="L826" t="inlineStr">
        <is>
          <t>Q3</t>
        </is>
      </c>
      <c r="M826" t="n">
        <v>2024</v>
      </c>
      <c r="N826" s="22" t="n">
        <v>45536</v>
      </c>
      <c r="O826" s="24" t="n">
        <v>0.8342022940563086</v>
      </c>
      <c r="P826" s="23" t="n">
        <v>-62964</v>
      </c>
    </row>
    <row r="827">
      <c r="A827" t="inlineStr">
        <is>
          <t>Concor 10 MG</t>
        </is>
      </c>
      <c r="B827" t="inlineStr">
        <is>
          <t>Cairo 2</t>
        </is>
      </c>
      <c r="C827" s="22" t="n">
        <v>45566</v>
      </c>
      <c r="D827" t="inlineStr">
        <is>
          <t>Hassan El-Shamy</t>
        </is>
      </c>
      <c r="E827" t="n">
        <v>99</v>
      </c>
      <c r="F827" t="n">
        <v>3334</v>
      </c>
      <c r="G827" t="n">
        <v>3657</v>
      </c>
      <c r="H827" s="23" t="n">
        <v>330066</v>
      </c>
      <c r="I827" s="23" t="n">
        <v>362043</v>
      </c>
      <c r="J827" t="inlineStr">
        <is>
          <t>Oct</t>
        </is>
      </c>
      <c r="K827" t="n">
        <v>10</v>
      </c>
      <c r="L827" t="inlineStr">
        <is>
          <t>Q4</t>
        </is>
      </c>
      <c r="M827" t="n">
        <v>2024</v>
      </c>
      <c r="N827" s="22" t="n">
        <v>45566</v>
      </c>
      <c r="O827" s="24" t="n">
        <v>0.9116762373530216</v>
      </c>
      <c r="P827" s="23" t="n">
        <v>-31977</v>
      </c>
    </row>
    <row r="828">
      <c r="A828" t="inlineStr">
        <is>
          <t>Concor 10 MG</t>
        </is>
      </c>
      <c r="B828" t="inlineStr">
        <is>
          <t>Cairo 2</t>
        </is>
      </c>
      <c r="C828" s="22" t="n">
        <v>45597</v>
      </c>
      <c r="D828" t="inlineStr">
        <is>
          <t>Hassan El-Shamy</t>
        </is>
      </c>
      <c r="E828" t="n">
        <v>99</v>
      </c>
      <c r="F828" t="n">
        <v>3496</v>
      </c>
      <c r="G828" t="n">
        <v>3313</v>
      </c>
      <c r="H828" s="23" t="n">
        <v>346104</v>
      </c>
      <c r="I828" s="23" t="n">
        <v>327987</v>
      </c>
      <c r="J828" t="inlineStr">
        <is>
          <t>Nov</t>
        </is>
      </c>
      <c r="K828" t="n">
        <v>11</v>
      </c>
      <c r="L828" t="inlineStr">
        <is>
          <t>Q4</t>
        </is>
      </c>
      <c r="M828" t="n">
        <v>2024</v>
      </c>
      <c r="N828" s="22" t="n">
        <v>45597</v>
      </c>
      <c r="O828" s="24" t="n">
        <v>1.055236945366737</v>
      </c>
      <c r="P828" s="23" t="n">
        <v>18117</v>
      </c>
    </row>
    <row r="829">
      <c r="A829" t="inlineStr">
        <is>
          <t>Concor 10 MG</t>
        </is>
      </c>
      <c r="B829" t="inlineStr">
        <is>
          <t>Cairo 2</t>
        </is>
      </c>
      <c r="C829" s="22" t="n">
        <v>45627</v>
      </c>
      <c r="D829" t="inlineStr">
        <is>
          <t>Hassan El-Shamy</t>
        </is>
      </c>
      <c r="E829" t="n">
        <v>99</v>
      </c>
      <c r="F829" t="n">
        <v>2823</v>
      </c>
      <c r="G829" t="n">
        <v>2880</v>
      </c>
      <c r="H829" s="23" t="n">
        <v>279477</v>
      </c>
      <c r="I829" s="23" t="n">
        <v>285120</v>
      </c>
      <c r="J829" t="inlineStr">
        <is>
          <t>Dec</t>
        </is>
      </c>
      <c r="K829" t="n">
        <v>12</v>
      </c>
      <c r="L829" t="inlineStr">
        <is>
          <t>Q4</t>
        </is>
      </c>
      <c r="M829" t="n">
        <v>2024</v>
      </c>
      <c r="N829" s="22" t="n">
        <v>45627</v>
      </c>
      <c r="O829" s="24" t="n">
        <v>0.9802083333333333</v>
      </c>
      <c r="P829" s="23" t="n">
        <v>-5643</v>
      </c>
    </row>
    <row r="830">
      <c r="A830" t="inlineStr">
        <is>
          <t>Concor 10 MG</t>
        </is>
      </c>
      <c r="B830" t="inlineStr">
        <is>
          <t>Suez</t>
        </is>
      </c>
      <c r="C830" s="22" t="n">
        <v>45292</v>
      </c>
      <c r="D830" t="inlineStr">
        <is>
          <t>Mohamed Mahmoud</t>
        </is>
      </c>
      <c r="E830" t="n">
        <v>99</v>
      </c>
      <c r="F830" t="n">
        <v>2743</v>
      </c>
      <c r="G830" t="n">
        <v>2877</v>
      </c>
      <c r="H830" s="23" t="n">
        <v>271557</v>
      </c>
      <c r="I830" s="23" t="n">
        <v>284823</v>
      </c>
      <c r="J830" t="inlineStr">
        <is>
          <t>Jan</t>
        </is>
      </c>
      <c r="K830" t="n">
        <v>1</v>
      </c>
      <c r="L830" t="inlineStr">
        <is>
          <t>Q1</t>
        </is>
      </c>
      <c r="M830" t="n">
        <v>2024</v>
      </c>
      <c r="N830" s="22" t="n">
        <v>45292</v>
      </c>
      <c r="O830" s="24" t="n">
        <v>0.9534237052485227</v>
      </c>
      <c r="P830" s="23" t="n">
        <v>-13266</v>
      </c>
    </row>
    <row r="831">
      <c r="A831" t="inlineStr">
        <is>
          <t>Concor 10 MG</t>
        </is>
      </c>
      <c r="B831" t="inlineStr">
        <is>
          <t>Suez</t>
        </is>
      </c>
      <c r="C831" s="22" t="n">
        <v>45323</v>
      </c>
      <c r="D831" t="inlineStr">
        <is>
          <t>Mohamed Mahmoud</t>
        </is>
      </c>
      <c r="E831" t="n">
        <v>99</v>
      </c>
      <c r="F831" t="n">
        <v>2729</v>
      </c>
      <c r="G831" t="n">
        <v>2738</v>
      </c>
      <c r="H831" s="23" t="n">
        <v>270171</v>
      </c>
      <c r="I831" s="23" t="n">
        <v>271062</v>
      </c>
      <c r="J831" t="inlineStr">
        <is>
          <t>Feb</t>
        </is>
      </c>
      <c r="K831" t="n">
        <v>2</v>
      </c>
      <c r="L831" t="inlineStr">
        <is>
          <t>Q1</t>
        </is>
      </c>
      <c r="M831" t="n">
        <v>2024</v>
      </c>
      <c r="N831" s="22" t="n">
        <v>45323</v>
      </c>
      <c r="O831" s="24" t="n">
        <v>0.9967129291453616</v>
      </c>
      <c r="P831" s="23" t="n">
        <v>-891</v>
      </c>
    </row>
    <row r="832">
      <c r="A832" t="inlineStr">
        <is>
          <t>Concor 10 MG</t>
        </is>
      </c>
      <c r="B832" t="inlineStr">
        <is>
          <t>Suez</t>
        </is>
      </c>
      <c r="C832" s="22" t="n">
        <v>45352</v>
      </c>
      <c r="D832" t="inlineStr">
        <is>
          <t>Mohamed Mahmoud</t>
        </is>
      </c>
      <c r="E832" t="n">
        <v>99</v>
      </c>
      <c r="F832" t="n">
        <v>2428</v>
      </c>
      <c r="G832" t="n">
        <v>2442</v>
      </c>
      <c r="H832" s="23" t="n">
        <v>240372</v>
      </c>
      <c r="I832" s="23" t="n">
        <v>241758</v>
      </c>
      <c r="J832" t="inlineStr">
        <is>
          <t>Mar</t>
        </is>
      </c>
      <c r="K832" t="n">
        <v>3</v>
      </c>
      <c r="L832" t="inlineStr">
        <is>
          <t>Q1</t>
        </is>
      </c>
      <c r="M832" t="n">
        <v>2024</v>
      </c>
      <c r="N832" s="22" t="n">
        <v>45352</v>
      </c>
      <c r="O832" s="24" t="n">
        <v>0.9942669942669943</v>
      </c>
      <c r="P832" s="23" t="n">
        <v>-1386</v>
      </c>
    </row>
    <row r="833">
      <c r="A833" t="inlineStr">
        <is>
          <t>Concor 10 MG</t>
        </is>
      </c>
      <c r="B833" t="inlineStr">
        <is>
          <t>Suez</t>
        </is>
      </c>
      <c r="C833" s="22" t="n">
        <v>45383</v>
      </c>
      <c r="D833" t="inlineStr">
        <is>
          <t>Mohamed Mahmoud</t>
        </is>
      </c>
      <c r="E833" t="n">
        <v>99</v>
      </c>
      <c r="F833" t="n">
        <v>1800</v>
      </c>
      <c r="G833" t="n">
        <v>2450</v>
      </c>
      <c r="H833" s="23" t="n">
        <v>178200</v>
      </c>
      <c r="I833" s="23" t="n">
        <v>242550</v>
      </c>
      <c r="J833" t="inlineStr">
        <is>
          <t>Apr</t>
        </is>
      </c>
      <c r="K833" t="n">
        <v>4</v>
      </c>
      <c r="L833" t="inlineStr">
        <is>
          <t>Q2</t>
        </is>
      </c>
      <c r="M833" t="n">
        <v>2024</v>
      </c>
      <c r="N833" s="22" t="n">
        <v>45383</v>
      </c>
      <c r="O833" s="24" t="n">
        <v>0.7346938775510204</v>
      </c>
      <c r="P833" s="23" t="n">
        <v>-64350</v>
      </c>
    </row>
    <row r="834">
      <c r="A834" t="inlineStr">
        <is>
          <t>Concor 10 MG</t>
        </is>
      </c>
      <c r="B834" t="inlineStr">
        <is>
          <t>Suez</t>
        </is>
      </c>
      <c r="C834" s="22" t="n">
        <v>45413</v>
      </c>
      <c r="D834" t="inlineStr">
        <is>
          <t>Mohamed Mahmoud</t>
        </is>
      </c>
      <c r="E834" t="n">
        <v>99</v>
      </c>
      <c r="F834" t="n">
        <v>2718</v>
      </c>
      <c r="G834" t="n">
        <v>2551</v>
      </c>
      <c r="H834" s="23" t="n">
        <v>269082</v>
      </c>
      <c r="I834" s="23" t="n">
        <v>252549</v>
      </c>
      <c r="J834" t="inlineStr">
        <is>
          <t>May</t>
        </is>
      </c>
      <c r="K834" t="n">
        <v>5</v>
      </c>
      <c r="L834" t="inlineStr">
        <is>
          <t>Q2</t>
        </is>
      </c>
      <c r="M834" t="n">
        <v>2024</v>
      </c>
      <c r="N834" s="22" t="n">
        <v>45413</v>
      </c>
      <c r="O834" s="24" t="n">
        <v>1.06546452371619</v>
      </c>
      <c r="P834" s="23" t="n">
        <v>16533</v>
      </c>
    </row>
    <row r="835">
      <c r="A835" t="inlineStr">
        <is>
          <t>Concor 10 MG</t>
        </is>
      </c>
      <c r="B835" t="inlineStr">
        <is>
          <t>Suez</t>
        </is>
      </c>
      <c r="C835" s="22" t="n">
        <v>45444</v>
      </c>
      <c r="D835" t="inlineStr">
        <is>
          <t>Mohamed Mahmoud</t>
        </is>
      </c>
      <c r="E835" t="n">
        <v>99</v>
      </c>
      <c r="F835" t="n">
        <v>2710</v>
      </c>
      <c r="G835" t="n">
        <v>2528</v>
      </c>
      <c r="H835" s="23" t="n">
        <v>268290</v>
      </c>
      <c r="I835" s="23" t="n">
        <v>250272</v>
      </c>
      <c r="J835" t="inlineStr">
        <is>
          <t>Jun</t>
        </is>
      </c>
      <c r="K835" t="n">
        <v>6</v>
      </c>
      <c r="L835" t="inlineStr">
        <is>
          <t>Q2</t>
        </is>
      </c>
      <c r="M835" t="n">
        <v>2024</v>
      </c>
      <c r="N835" s="22" t="n">
        <v>45444</v>
      </c>
      <c r="O835" s="24" t="n">
        <v>1.071993670886076</v>
      </c>
      <c r="P835" s="23" t="n">
        <v>18018</v>
      </c>
    </row>
    <row r="836">
      <c r="A836" t="inlineStr">
        <is>
          <t>Concor 10 MG</t>
        </is>
      </c>
      <c r="B836" t="inlineStr">
        <is>
          <t>Suez</t>
        </is>
      </c>
      <c r="C836" s="22" t="n">
        <v>45474</v>
      </c>
      <c r="D836" t="inlineStr">
        <is>
          <t>Mohamed Mahmoud</t>
        </is>
      </c>
      <c r="E836" t="n">
        <v>99</v>
      </c>
      <c r="F836" t="n">
        <v>3309</v>
      </c>
      <c r="G836" t="n">
        <v>3015</v>
      </c>
      <c r="H836" s="23" t="n">
        <v>327591</v>
      </c>
      <c r="I836" s="23" t="n">
        <v>298485</v>
      </c>
      <c r="J836" t="inlineStr">
        <is>
          <t>Jul</t>
        </is>
      </c>
      <c r="K836" t="n">
        <v>7</v>
      </c>
      <c r="L836" t="inlineStr">
        <is>
          <t>Q3</t>
        </is>
      </c>
      <c r="M836" t="n">
        <v>2024</v>
      </c>
      <c r="N836" s="22" t="n">
        <v>45474</v>
      </c>
      <c r="O836" s="24" t="n">
        <v>1.097512437810945</v>
      </c>
      <c r="P836" s="23" t="n">
        <v>29106</v>
      </c>
    </row>
    <row r="837">
      <c r="A837" t="inlineStr">
        <is>
          <t>Concor 10 MG</t>
        </is>
      </c>
      <c r="B837" t="inlineStr">
        <is>
          <t>Suez</t>
        </is>
      </c>
      <c r="C837" s="22" t="n">
        <v>45505</v>
      </c>
      <c r="D837" t="inlineStr">
        <is>
          <t>Mohamed Mahmoud</t>
        </is>
      </c>
      <c r="E837" t="n">
        <v>99</v>
      </c>
      <c r="F837" t="n">
        <v>2214</v>
      </c>
      <c r="G837" t="n">
        <v>2145</v>
      </c>
      <c r="H837" s="23" t="n">
        <v>219186</v>
      </c>
      <c r="I837" s="23" t="n">
        <v>212355</v>
      </c>
      <c r="J837" t="inlineStr">
        <is>
          <t>Aug</t>
        </is>
      </c>
      <c r="K837" t="n">
        <v>8</v>
      </c>
      <c r="L837" t="inlineStr">
        <is>
          <t>Q3</t>
        </is>
      </c>
      <c r="M837" t="n">
        <v>2024</v>
      </c>
      <c r="N837" s="22" t="n">
        <v>45505</v>
      </c>
      <c r="O837" s="24" t="n">
        <v>1.032167832167832</v>
      </c>
      <c r="P837" s="23" t="n">
        <v>6831</v>
      </c>
    </row>
    <row r="838">
      <c r="A838" t="inlineStr">
        <is>
          <t>Concor 10 MG</t>
        </is>
      </c>
      <c r="B838" t="inlineStr">
        <is>
          <t>Suez</t>
        </is>
      </c>
      <c r="C838" s="22" t="n">
        <v>45536</v>
      </c>
      <c r="D838" t="inlineStr">
        <is>
          <t>Mohamed Mahmoud</t>
        </is>
      </c>
      <c r="E838" t="n">
        <v>99</v>
      </c>
      <c r="F838" t="n">
        <v>3804</v>
      </c>
      <c r="G838" t="n">
        <v>3125</v>
      </c>
      <c r="H838" s="23" t="n">
        <v>376596</v>
      </c>
      <c r="I838" s="23" t="n">
        <v>309375</v>
      </c>
      <c r="J838" t="inlineStr">
        <is>
          <t>Sep</t>
        </is>
      </c>
      <c r="K838" t="n">
        <v>9</v>
      </c>
      <c r="L838" t="inlineStr">
        <is>
          <t>Q3</t>
        </is>
      </c>
      <c r="M838" t="n">
        <v>2024</v>
      </c>
      <c r="N838" s="22" t="n">
        <v>45536</v>
      </c>
      <c r="O838" s="24" t="n">
        <v>1.21728</v>
      </c>
      <c r="P838" s="23" t="n">
        <v>67221</v>
      </c>
    </row>
    <row r="839">
      <c r="A839" t="inlineStr">
        <is>
          <t>Concor 10 MG</t>
        </is>
      </c>
      <c r="B839" t="inlineStr">
        <is>
          <t>Suez</t>
        </is>
      </c>
      <c r="C839" s="22" t="n">
        <v>45566</v>
      </c>
      <c r="D839" t="inlineStr">
        <is>
          <t>Mohamed Mahmoud</t>
        </is>
      </c>
      <c r="E839" t="n">
        <v>99</v>
      </c>
      <c r="F839" t="n">
        <v>2800</v>
      </c>
      <c r="G839" t="n">
        <v>3125</v>
      </c>
      <c r="H839" s="23" t="n">
        <v>277200</v>
      </c>
      <c r="I839" s="23" t="n">
        <v>309375</v>
      </c>
      <c r="J839" t="inlineStr">
        <is>
          <t>Oct</t>
        </is>
      </c>
      <c r="K839" t="n">
        <v>10</v>
      </c>
      <c r="L839" t="inlineStr">
        <is>
          <t>Q4</t>
        </is>
      </c>
      <c r="M839" t="n">
        <v>2024</v>
      </c>
      <c r="N839" s="22" t="n">
        <v>45566</v>
      </c>
      <c r="O839" s="24" t="n">
        <v>0.896</v>
      </c>
      <c r="P839" s="23" t="n">
        <v>-32175</v>
      </c>
    </row>
    <row r="840">
      <c r="A840" t="inlineStr">
        <is>
          <t>Concor 10 MG</t>
        </is>
      </c>
      <c r="B840" t="inlineStr">
        <is>
          <t>Suez</t>
        </is>
      </c>
      <c r="C840" s="22" t="n">
        <v>45597</v>
      </c>
      <c r="D840" t="inlineStr">
        <is>
          <t>Mohamed Mahmoud</t>
        </is>
      </c>
      <c r="E840" t="n">
        <v>99</v>
      </c>
      <c r="F840" t="n">
        <v>2062</v>
      </c>
      <c r="G840" t="n">
        <v>2170</v>
      </c>
      <c r="H840" s="23" t="n">
        <v>204138</v>
      </c>
      <c r="I840" s="23" t="n">
        <v>214830</v>
      </c>
      <c r="J840" t="inlineStr">
        <is>
          <t>Nov</t>
        </is>
      </c>
      <c r="K840" t="n">
        <v>11</v>
      </c>
      <c r="L840" t="inlineStr">
        <is>
          <t>Q4</t>
        </is>
      </c>
      <c r="M840" t="n">
        <v>2024</v>
      </c>
      <c r="N840" s="22" t="n">
        <v>45597</v>
      </c>
      <c r="O840" s="24" t="n">
        <v>0.9502304147465438</v>
      </c>
      <c r="P840" s="23" t="n">
        <v>-10692</v>
      </c>
    </row>
    <row r="841">
      <c r="A841" t="inlineStr">
        <is>
          <t>Concor 10 MG</t>
        </is>
      </c>
      <c r="B841" t="inlineStr">
        <is>
          <t>Suez</t>
        </is>
      </c>
      <c r="C841" s="22" t="n">
        <v>45627</v>
      </c>
      <c r="D841" t="inlineStr">
        <is>
          <t>Mohamed Mahmoud</t>
        </is>
      </c>
      <c r="E841" t="n">
        <v>99</v>
      </c>
      <c r="F841" t="n">
        <v>3092</v>
      </c>
      <c r="G841" t="n">
        <v>3220</v>
      </c>
      <c r="H841" s="23" t="n">
        <v>306108</v>
      </c>
      <c r="I841" s="23" t="n">
        <v>318780</v>
      </c>
      <c r="J841" t="inlineStr">
        <is>
          <t>Dec</t>
        </is>
      </c>
      <c r="K841" t="n">
        <v>12</v>
      </c>
      <c r="L841" t="inlineStr">
        <is>
          <t>Q4</t>
        </is>
      </c>
      <c r="M841" t="n">
        <v>2024</v>
      </c>
      <c r="N841" s="22" t="n">
        <v>45627</v>
      </c>
      <c r="O841" s="24" t="n">
        <v>0.9602484472049689</v>
      </c>
      <c r="P841" s="23" t="n">
        <v>-12672</v>
      </c>
    </row>
    <row r="842">
      <c r="A842" t="inlineStr">
        <is>
          <t>Concor 10 MG</t>
        </is>
      </c>
      <c r="B842" t="inlineStr">
        <is>
          <t>Dakahlia 1</t>
        </is>
      </c>
      <c r="C842" s="22" t="n">
        <v>45292</v>
      </c>
      <c r="D842" t="inlineStr">
        <is>
          <t>Nour El-Din</t>
        </is>
      </c>
      <c r="E842" t="n">
        <v>99</v>
      </c>
      <c r="F842" t="n">
        <v>2242</v>
      </c>
      <c r="G842" t="n">
        <v>2507</v>
      </c>
      <c r="H842" s="23" t="n">
        <v>221958</v>
      </c>
      <c r="I842" s="23" t="n">
        <v>248193</v>
      </c>
      <c r="J842" t="inlineStr">
        <is>
          <t>Jan</t>
        </is>
      </c>
      <c r="K842" t="n">
        <v>1</v>
      </c>
      <c r="L842" t="inlineStr">
        <is>
          <t>Q1</t>
        </is>
      </c>
      <c r="M842" t="n">
        <v>2024</v>
      </c>
      <c r="N842" s="22" t="n">
        <v>45292</v>
      </c>
      <c r="O842" s="24" t="n">
        <v>0.8942959712804148</v>
      </c>
      <c r="P842" s="23" t="n">
        <v>-26235</v>
      </c>
    </row>
    <row r="843">
      <c r="A843" t="inlineStr">
        <is>
          <t>Concor 10 MG</t>
        </is>
      </c>
      <c r="B843" t="inlineStr">
        <is>
          <t>Dakahlia 1</t>
        </is>
      </c>
      <c r="C843" s="22" t="n">
        <v>45323</v>
      </c>
      <c r="D843" t="inlineStr">
        <is>
          <t>Nour El-Din</t>
        </is>
      </c>
      <c r="E843" t="n">
        <v>99</v>
      </c>
      <c r="F843" t="n">
        <v>3721</v>
      </c>
      <c r="G843" t="n">
        <v>3425</v>
      </c>
      <c r="H843" s="23" t="n">
        <v>368379</v>
      </c>
      <c r="I843" s="23" t="n">
        <v>339075</v>
      </c>
      <c r="J843" t="inlineStr">
        <is>
          <t>Feb</t>
        </is>
      </c>
      <c r="K843" t="n">
        <v>2</v>
      </c>
      <c r="L843" t="inlineStr">
        <is>
          <t>Q1</t>
        </is>
      </c>
      <c r="M843" t="n">
        <v>2024</v>
      </c>
      <c r="N843" s="22" t="n">
        <v>45323</v>
      </c>
      <c r="O843" s="24" t="n">
        <v>1.086423357664233</v>
      </c>
      <c r="P843" s="23" t="n">
        <v>29304</v>
      </c>
    </row>
    <row r="844">
      <c r="A844" t="inlineStr">
        <is>
          <t>Concor 10 MG</t>
        </is>
      </c>
      <c r="B844" t="inlineStr">
        <is>
          <t>Dakahlia 1</t>
        </is>
      </c>
      <c r="C844" s="22" t="n">
        <v>45352</v>
      </c>
      <c r="D844" t="inlineStr">
        <is>
          <t>Nour El-Din</t>
        </is>
      </c>
      <c r="E844" t="n">
        <v>99</v>
      </c>
      <c r="F844" t="n">
        <v>2669</v>
      </c>
      <c r="G844" t="n">
        <v>2478</v>
      </c>
      <c r="H844" s="23" t="n">
        <v>264231</v>
      </c>
      <c r="I844" s="23" t="n">
        <v>245322</v>
      </c>
      <c r="J844" t="inlineStr">
        <is>
          <t>Mar</t>
        </is>
      </c>
      <c r="K844" t="n">
        <v>3</v>
      </c>
      <c r="L844" t="inlineStr">
        <is>
          <t>Q1</t>
        </is>
      </c>
      <c r="M844" t="n">
        <v>2024</v>
      </c>
      <c r="N844" s="22" t="n">
        <v>45352</v>
      </c>
      <c r="O844" s="24" t="n">
        <v>1.077078288942696</v>
      </c>
      <c r="P844" s="23" t="n">
        <v>18909</v>
      </c>
    </row>
    <row r="845">
      <c r="A845" t="inlineStr">
        <is>
          <t>Concor 10 MG</t>
        </is>
      </c>
      <c r="B845" t="inlineStr">
        <is>
          <t>Dakahlia 1</t>
        </is>
      </c>
      <c r="C845" s="22" t="n">
        <v>45383</v>
      </c>
      <c r="D845" t="inlineStr">
        <is>
          <t>Nour El-Din</t>
        </is>
      </c>
      <c r="E845" t="n">
        <v>99</v>
      </c>
      <c r="F845" t="n">
        <v>2404</v>
      </c>
      <c r="G845" t="n">
        <v>2524</v>
      </c>
      <c r="H845" s="23" t="n">
        <v>237996</v>
      </c>
      <c r="I845" s="23" t="n">
        <v>249876</v>
      </c>
      <c r="J845" t="inlineStr">
        <is>
          <t>Apr</t>
        </is>
      </c>
      <c r="K845" t="n">
        <v>4</v>
      </c>
      <c r="L845" t="inlineStr">
        <is>
          <t>Q2</t>
        </is>
      </c>
      <c r="M845" t="n">
        <v>2024</v>
      </c>
      <c r="N845" s="22" t="n">
        <v>45383</v>
      </c>
      <c r="O845" s="24" t="n">
        <v>0.9524564183835182</v>
      </c>
      <c r="P845" s="23" t="n">
        <v>-11880</v>
      </c>
    </row>
    <row r="846">
      <c r="A846" t="inlineStr">
        <is>
          <t>Concor 10 MG</t>
        </is>
      </c>
      <c r="B846" t="inlineStr">
        <is>
          <t>Dakahlia 1</t>
        </is>
      </c>
      <c r="C846" s="22" t="n">
        <v>45413</v>
      </c>
      <c r="D846" t="inlineStr">
        <is>
          <t>Nour El-Din</t>
        </is>
      </c>
      <c r="E846" t="n">
        <v>99</v>
      </c>
      <c r="F846" t="n">
        <v>2363</v>
      </c>
      <c r="G846" t="n">
        <v>2652</v>
      </c>
      <c r="H846" s="23" t="n">
        <v>233937</v>
      </c>
      <c r="I846" s="23" t="n">
        <v>262548</v>
      </c>
      <c r="J846" t="inlineStr">
        <is>
          <t>May</t>
        </is>
      </c>
      <c r="K846" t="n">
        <v>5</v>
      </c>
      <c r="L846" t="inlineStr">
        <is>
          <t>Q2</t>
        </is>
      </c>
      <c r="M846" t="n">
        <v>2024</v>
      </c>
      <c r="N846" s="22" t="n">
        <v>45413</v>
      </c>
      <c r="O846" s="24" t="n">
        <v>0.8910256410256411</v>
      </c>
      <c r="P846" s="23" t="n">
        <v>-28611</v>
      </c>
    </row>
    <row r="847">
      <c r="A847" t="inlineStr">
        <is>
          <t>Concor 10 MG</t>
        </is>
      </c>
      <c r="B847" t="inlineStr">
        <is>
          <t>Dakahlia 1</t>
        </is>
      </c>
      <c r="C847" s="22" t="n">
        <v>45444</v>
      </c>
      <c r="D847" t="inlineStr">
        <is>
          <t>Nour El-Din</t>
        </is>
      </c>
      <c r="E847" t="n">
        <v>99</v>
      </c>
      <c r="F847" t="n">
        <v>2916</v>
      </c>
      <c r="G847" t="n">
        <v>2798</v>
      </c>
      <c r="H847" s="23" t="n">
        <v>288684</v>
      </c>
      <c r="I847" s="23" t="n">
        <v>277002</v>
      </c>
      <c r="J847" t="inlineStr">
        <is>
          <t>Jun</t>
        </is>
      </c>
      <c r="K847" t="n">
        <v>6</v>
      </c>
      <c r="L847" t="inlineStr">
        <is>
          <t>Q2</t>
        </is>
      </c>
      <c r="M847" t="n">
        <v>2024</v>
      </c>
      <c r="N847" s="22" t="n">
        <v>45444</v>
      </c>
      <c r="O847" s="24" t="n">
        <v>1.0421729807005</v>
      </c>
      <c r="P847" s="23" t="n">
        <v>11682</v>
      </c>
    </row>
    <row r="848">
      <c r="A848" t="inlineStr">
        <is>
          <t>Concor 10 MG</t>
        </is>
      </c>
      <c r="B848" t="inlineStr">
        <is>
          <t>Dakahlia 1</t>
        </is>
      </c>
      <c r="C848" s="22" t="n">
        <v>45474</v>
      </c>
      <c r="D848" t="inlineStr">
        <is>
          <t>Nour El-Din</t>
        </is>
      </c>
      <c r="E848" t="n">
        <v>99</v>
      </c>
      <c r="F848" t="n">
        <v>2665</v>
      </c>
      <c r="G848" t="n">
        <v>2978</v>
      </c>
      <c r="H848" s="23" t="n">
        <v>263835</v>
      </c>
      <c r="I848" s="23" t="n">
        <v>294822</v>
      </c>
      <c r="J848" t="inlineStr">
        <is>
          <t>Jul</t>
        </is>
      </c>
      <c r="K848" t="n">
        <v>7</v>
      </c>
      <c r="L848" t="inlineStr">
        <is>
          <t>Q3</t>
        </is>
      </c>
      <c r="M848" t="n">
        <v>2024</v>
      </c>
      <c r="N848" s="22" t="n">
        <v>45474</v>
      </c>
      <c r="O848" s="24" t="n">
        <v>0.8948959032907992</v>
      </c>
      <c r="P848" s="23" t="n">
        <v>-30987</v>
      </c>
    </row>
    <row r="849">
      <c r="A849" t="inlineStr">
        <is>
          <t>Concor 10 MG</t>
        </is>
      </c>
      <c r="B849" t="inlineStr">
        <is>
          <t>Dakahlia 1</t>
        </is>
      </c>
      <c r="C849" s="22" t="n">
        <v>45505</v>
      </c>
      <c r="D849" t="inlineStr">
        <is>
          <t>Nour El-Din</t>
        </is>
      </c>
      <c r="E849" t="n">
        <v>99</v>
      </c>
      <c r="F849" t="n">
        <v>3275</v>
      </c>
      <c r="G849" t="n">
        <v>3565</v>
      </c>
      <c r="H849" s="23" t="n">
        <v>324225</v>
      </c>
      <c r="I849" s="23" t="n">
        <v>352935</v>
      </c>
      <c r="J849" t="inlineStr">
        <is>
          <t>Aug</t>
        </is>
      </c>
      <c r="K849" t="n">
        <v>8</v>
      </c>
      <c r="L849" t="inlineStr">
        <is>
          <t>Q3</t>
        </is>
      </c>
      <c r="M849" t="n">
        <v>2024</v>
      </c>
      <c r="N849" s="22" t="n">
        <v>45505</v>
      </c>
      <c r="O849" s="24" t="n">
        <v>0.9186535764375876</v>
      </c>
      <c r="P849" s="23" t="n">
        <v>-28710</v>
      </c>
    </row>
    <row r="850">
      <c r="A850" t="inlineStr">
        <is>
          <t>Concor 10 MG</t>
        </is>
      </c>
      <c r="B850" t="inlineStr">
        <is>
          <t>Dakahlia 1</t>
        </is>
      </c>
      <c r="C850" s="22" t="n">
        <v>45536</v>
      </c>
      <c r="D850" t="inlineStr">
        <is>
          <t>Nour El-Din</t>
        </is>
      </c>
      <c r="E850" t="n">
        <v>99</v>
      </c>
      <c r="F850" t="n">
        <v>2471</v>
      </c>
      <c r="G850" t="n">
        <v>2517</v>
      </c>
      <c r="H850" s="23" t="n">
        <v>244629</v>
      </c>
      <c r="I850" s="23" t="n">
        <v>249183</v>
      </c>
      <c r="J850" t="inlineStr">
        <is>
          <t>Sep</t>
        </is>
      </c>
      <c r="K850" t="n">
        <v>9</v>
      </c>
      <c r="L850" t="inlineStr">
        <is>
          <t>Q3</t>
        </is>
      </c>
      <c r="M850" t="n">
        <v>2024</v>
      </c>
      <c r="N850" s="22" t="n">
        <v>45536</v>
      </c>
      <c r="O850" s="24" t="n">
        <v>0.9817242749304728</v>
      </c>
      <c r="P850" s="23" t="n">
        <v>-4554</v>
      </c>
    </row>
    <row r="851">
      <c r="A851" t="inlineStr">
        <is>
          <t>Concor 10 MG</t>
        </is>
      </c>
      <c r="B851" t="inlineStr">
        <is>
          <t>Dakahlia 1</t>
        </is>
      </c>
      <c r="C851" s="22" t="n">
        <v>45566</v>
      </c>
      <c r="D851" t="inlineStr">
        <is>
          <t>Nour El-Din</t>
        </is>
      </c>
      <c r="E851" t="n">
        <v>99</v>
      </c>
      <c r="F851" t="n">
        <v>3230</v>
      </c>
      <c r="G851" t="n">
        <v>3625</v>
      </c>
      <c r="H851" s="23" t="n">
        <v>319770</v>
      </c>
      <c r="I851" s="23" t="n">
        <v>358875</v>
      </c>
      <c r="J851" t="inlineStr">
        <is>
          <t>Oct</t>
        </is>
      </c>
      <c r="K851" t="n">
        <v>10</v>
      </c>
      <c r="L851" t="inlineStr">
        <is>
          <t>Q4</t>
        </is>
      </c>
      <c r="M851" t="n">
        <v>2024</v>
      </c>
      <c r="N851" s="22" t="n">
        <v>45566</v>
      </c>
      <c r="O851" s="24" t="n">
        <v>0.8910344827586207</v>
      </c>
      <c r="P851" s="23" t="n">
        <v>-39105</v>
      </c>
    </row>
    <row r="852">
      <c r="A852" t="inlineStr">
        <is>
          <t>Concor 10 MG</t>
        </is>
      </c>
      <c r="B852" t="inlineStr">
        <is>
          <t>Dakahlia 1</t>
        </is>
      </c>
      <c r="C852" s="22" t="n">
        <v>45597</v>
      </c>
      <c r="D852" t="inlineStr">
        <is>
          <t>Nour El-Din</t>
        </is>
      </c>
      <c r="E852" t="n">
        <v>99</v>
      </c>
      <c r="F852" t="n">
        <v>2440</v>
      </c>
      <c r="G852" t="n">
        <v>2378</v>
      </c>
      <c r="H852" s="23" t="n">
        <v>241560</v>
      </c>
      <c r="I852" s="23" t="n">
        <v>235422</v>
      </c>
      <c r="J852" t="inlineStr">
        <is>
          <t>Nov</t>
        </is>
      </c>
      <c r="K852" t="n">
        <v>11</v>
      </c>
      <c r="L852" t="inlineStr">
        <is>
          <t>Q4</t>
        </is>
      </c>
      <c r="M852" t="n">
        <v>2024</v>
      </c>
      <c r="N852" s="22" t="n">
        <v>45597</v>
      </c>
      <c r="O852" s="24" t="n">
        <v>1.026072329688814</v>
      </c>
      <c r="P852" s="23" t="n">
        <v>6138</v>
      </c>
    </row>
    <row r="853">
      <c r="A853" t="inlineStr">
        <is>
          <t>Concor 10 MG</t>
        </is>
      </c>
      <c r="B853" t="inlineStr">
        <is>
          <t>Dakahlia 1</t>
        </is>
      </c>
      <c r="C853" s="22" t="n">
        <v>45627</v>
      </c>
      <c r="D853" t="inlineStr">
        <is>
          <t>Nour El-Din</t>
        </is>
      </c>
      <c r="E853" t="n">
        <v>99</v>
      </c>
      <c r="F853" t="n">
        <v>2114</v>
      </c>
      <c r="G853" t="n">
        <v>2382</v>
      </c>
      <c r="H853" s="23" t="n">
        <v>209286</v>
      </c>
      <c r="I853" s="23" t="n">
        <v>235818</v>
      </c>
      <c r="J853" t="inlineStr">
        <is>
          <t>Dec</t>
        </is>
      </c>
      <c r="K853" t="n">
        <v>12</v>
      </c>
      <c r="L853" t="inlineStr">
        <is>
          <t>Q4</t>
        </is>
      </c>
      <c r="M853" t="n">
        <v>2024</v>
      </c>
      <c r="N853" s="22" t="n">
        <v>45627</v>
      </c>
      <c r="O853" s="24" t="n">
        <v>0.8874895046179681</v>
      </c>
      <c r="P853" s="23" t="n">
        <v>-26532</v>
      </c>
    </row>
    <row r="854">
      <c r="A854" t="inlineStr">
        <is>
          <t>Concor 10 MG</t>
        </is>
      </c>
      <c r="B854" t="inlineStr">
        <is>
          <t>Dakahlia 2</t>
        </is>
      </c>
      <c r="C854" s="22" t="n">
        <v>45292</v>
      </c>
      <c r="D854" t="inlineStr">
        <is>
          <t>Omar Khaled</t>
        </is>
      </c>
      <c r="E854" t="n">
        <v>99</v>
      </c>
      <c r="F854" t="n">
        <v>2701</v>
      </c>
      <c r="G854" t="n">
        <v>2667</v>
      </c>
      <c r="H854" s="23" t="n">
        <v>267399</v>
      </c>
      <c r="I854" s="23" t="n">
        <v>264033</v>
      </c>
      <c r="J854" t="inlineStr">
        <is>
          <t>Jan</t>
        </is>
      </c>
      <c r="K854" t="n">
        <v>1</v>
      </c>
      <c r="L854" t="inlineStr">
        <is>
          <t>Q1</t>
        </is>
      </c>
      <c r="M854" t="n">
        <v>2024</v>
      </c>
      <c r="N854" s="22" t="n">
        <v>45292</v>
      </c>
      <c r="O854" s="24" t="n">
        <v>1.012748406449194</v>
      </c>
      <c r="P854" s="23" t="n">
        <v>3366</v>
      </c>
    </row>
    <row r="855">
      <c r="A855" t="inlineStr">
        <is>
          <t>Concor 10 MG</t>
        </is>
      </c>
      <c r="B855" t="inlineStr">
        <is>
          <t>Dakahlia 2</t>
        </is>
      </c>
      <c r="C855" s="22" t="n">
        <v>45323</v>
      </c>
      <c r="D855" t="inlineStr">
        <is>
          <t>Omar Khaled</t>
        </is>
      </c>
      <c r="E855" t="n">
        <v>99</v>
      </c>
      <c r="F855" t="n">
        <v>3452</v>
      </c>
      <c r="G855" t="n">
        <v>3140</v>
      </c>
      <c r="H855" s="23" t="n">
        <v>341748</v>
      </c>
      <c r="I855" s="23" t="n">
        <v>310860</v>
      </c>
      <c r="J855" t="inlineStr">
        <is>
          <t>Feb</t>
        </is>
      </c>
      <c r="K855" t="n">
        <v>2</v>
      </c>
      <c r="L855" t="inlineStr">
        <is>
          <t>Q1</t>
        </is>
      </c>
      <c r="M855" t="n">
        <v>2024</v>
      </c>
      <c r="N855" s="22" t="n">
        <v>45323</v>
      </c>
      <c r="O855" s="24" t="n">
        <v>1.099363057324841</v>
      </c>
      <c r="P855" s="23" t="n">
        <v>30888</v>
      </c>
    </row>
    <row r="856">
      <c r="A856" t="inlineStr">
        <is>
          <t>Concor 10 MG</t>
        </is>
      </c>
      <c r="B856" t="inlineStr">
        <is>
          <t>Dakahlia 2</t>
        </is>
      </c>
      <c r="C856" s="22" t="n">
        <v>45352</v>
      </c>
      <c r="D856" t="inlineStr">
        <is>
          <t>Omar Khaled</t>
        </is>
      </c>
      <c r="E856" t="n">
        <v>99</v>
      </c>
      <c r="F856" t="n">
        <v>2909</v>
      </c>
      <c r="G856" t="n">
        <v>2880</v>
      </c>
      <c r="H856" s="23" t="n">
        <v>287991</v>
      </c>
      <c r="I856" s="23" t="n">
        <v>285120</v>
      </c>
      <c r="J856" t="inlineStr">
        <is>
          <t>Mar</t>
        </is>
      </c>
      <c r="K856" t="n">
        <v>3</v>
      </c>
      <c r="L856" t="inlineStr">
        <is>
          <t>Q1</t>
        </is>
      </c>
      <c r="M856" t="n">
        <v>2024</v>
      </c>
      <c r="N856" s="22" t="n">
        <v>45352</v>
      </c>
      <c r="O856" s="24" t="n">
        <v>1.010069444444444</v>
      </c>
      <c r="P856" s="23" t="n">
        <v>2871</v>
      </c>
    </row>
    <row r="857">
      <c r="A857" t="inlineStr">
        <is>
          <t>Concor 10 MG</t>
        </is>
      </c>
      <c r="B857" t="inlineStr">
        <is>
          <t>Dakahlia 2</t>
        </is>
      </c>
      <c r="C857" s="22" t="n">
        <v>45383</v>
      </c>
      <c r="D857" t="inlineStr">
        <is>
          <t>Omar Khaled</t>
        </is>
      </c>
      <c r="E857" t="n">
        <v>99</v>
      </c>
      <c r="F857" t="n">
        <v>3802</v>
      </c>
      <c r="G857" t="n">
        <v>3869</v>
      </c>
      <c r="H857" s="23" t="n">
        <v>376398</v>
      </c>
      <c r="I857" s="23" t="n">
        <v>383031</v>
      </c>
      <c r="J857" t="inlineStr">
        <is>
          <t>Apr</t>
        </is>
      </c>
      <c r="K857" t="n">
        <v>4</v>
      </c>
      <c r="L857" t="inlineStr">
        <is>
          <t>Q2</t>
        </is>
      </c>
      <c r="M857" t="n">
        <v>2024</v>
      </c>
      <c r="N857" s="22" t="n">
        <v>45383</v>
      </c>
      <c r="O857" s="24" t="n">
        <v>0.9826828637890928</v>
      </c>
      <c r="P857" s="23" t="n">
        <v>-6633</v>
      </c>
    </row>
    <row r="858">
      <c r="A858" t="inlineStr">
        <is>
          <t>Concor 10 MG</t>
        </is>
      </c>
      <c r="B858" t="inlineStr">
        <is>
          <t>Dakahlia 2</t>
        </is>
      </c>
      <c r="C858" s="22" t="n">
        <v>45413</v>
      </c>
      <c r="D858" t="inlineStr">
        <is>
          <t>Omar Khaled</t>
        </is>
      </c>
      <c r="E858" t="n">
        <v>99</v>
      </c>
      <c r="F858" t="n">
        <v>3324</v>
      </c>
      <c r="G858" t="n">
        <v>3395</v>
      </c>
      <c r="H858" s="23" t="n">
        <v>329076</v>
      </c>
      <c r="I858" s="23" t="n">
        <v>336105</v>
      </c>
      <c r="J858" t="inlineStr">
        <is>
          <t>May</t>
        </is>
      </c>
      <c r="K858" t="n">
        <v>5</v>
      </c>
      <c r="L858" t="inlineStr">
        <is>
          <t>Q2</t>
        </is>
      </c>
      <c r="M858" t="n">
        <v>2024</v>
      </c>
      <c r="N858" s="22" t="n">
        <v>45413</v>
      </c>
      <c r="O858" s="24" t="n">
        <v>0.9790868924889543</v>
      </c>
      <c r="P858" s="23" t="n">
        <v>-7029</v>
      </c>
    </row>
    <row r="859">
      <c r="A859" t="inlineStr">
        <is>
          <t>Concor 10 MG</t>
        </is>
      </c>
      <c r="B859" t="inlineStr">
        <is>
          <t>Dakahlia 2</t>
        </is>
      </c>
      <c r="C859" s="22" t="n">
        <v>45444</v>
      </c>
      <c r="D859" t="inlineStr">
        <is>
          <t>Omar Khaled</t>
        </is>
      </c>
      <c r="E859" t="n">
        <v>99</v>
      </c>
      <c r="F859" t="n">
        <v>2926</v>
      </c>
      <c r="G859" t="n">
        <v>3346</v>
      </c>
      <c r="H859" s="23" t="n">
        <v>289674</v>
      </c>
      <c r="I859" s="23" t="n">
        <v>331254</v>
      </c>
      <c r="J859" t="inlineStr">
        <is>
          <t>Jun</t>
        </is>
      </c>
      <c r="K859" t="n">
        <v>6</v>
      </c>
      <c r="L859" t="inlineStr">
        <is>
          <t>Q2</t>
        </is>
      </c>
      <c r="M859" t="n">
        <v>2024</v>
      </c>
      <c r="N859" s="22" t="n">
        <v>45444</v>
      </c>
      <c r="O859" s="24" t="n">
        <v>0.8744769874476988</v>
      </c>
      <c r="P859" s="23" t="n">
        <v>-41580</v>
      </c>
    </row>
    <row r="860">
      <c r="A860" t="inlineStr">
        <is>
          <t>Concor 10 MG</t>
        </is>
      </c>
      <c r="B860" t="inlineStr">
        <is>
          <t>Dakahlia 2</t>
        </is>
      </c>
      <c r="C860" s="22" t="n">
        <v>45474</v>
      </c>
      <c r="D860" t="inlineStr">
        <is>
          <t>Omar Khaled</t>
        </is>
      </c>
      <c r="E860" t="n">
        <v>99</v>
      </c>
      <c r="F860" t="n">
        <v>2724</v>
      </c>
      <c r="G860" t="n">
        <v>2503</v>
      </c>
      <c r="H860" s="23" t="n">
        <v>269676</v>
      </c>
      <c r="I860" s="23" t="n">
        <v>247797</v>
      </c>
      <c r="J860" t="inlineStr">
        <is>
          <t>Jul</t>
        </is>
      </c>
      <c r="K860" t="n">
        <v>7</v>
      </c>
      <c r="L860" t="inlineStr">
        <is>
          <t>Q3</t>
        </is>
      </c>
      <c r="M860" t="n">
        <v>2024</v>
      </c>
      <c r="N860" s="22" t="n">
        <v>45474</v>
      </c>
      <c r="O860" s="24" t="n">
        <v>1.088294047143428</v>
      </c>
      <c r="P860" s="23" t="n">
        <v>21879</v>
      </c>
    </row>
    <row r="861">
      <c r="A861" t="inlineStr">
        <is>
          <t>Concor 10 MG</t>
        </is>
      </c>
      <c r="B861" t="inlineStr">
        <is>
          <t>Dakahlia 2</t>
        </is>
      </c>
      <c r="C861" s="22" t="n">
        <v>45505</v>
      </c>
      <c r="D861" t="inlineStr">
        <is>
          <t>Omar Khaled</t>
        </is>
      </c>
      <c r="E861" t="n">
        <v>99</v>
      </c>
      <c r="F861" t="n">
        <v>3186</v>
      </c>
      <c r="G861" t="n">
        <v>3104</v>
      </c>
      <c r="H861" s="23" t="n">
        <v>315414</v>
      </c>
      <c r="I861" s="23" t="n">
        <v>307296</v>
      </c>
      <c r="J861" t="inlineStr">
        <is>
          <t>Aug</t>
        </is>
      </c>
      <c r="K861" t="n">
        <v>8</v>
      </c>
      <c r="L861" t="inlineStr">
        <is>
          <t>Q3</t>
        </is>
      </c>
      <c r="M861" t="n">
        <v>2024</v>
      </c>
      <c r="N861" s="22" t="n">
        <v>45505</v>
      </c>
      <c r="O861" s="24" t="n">
        <v>1.026417525773196</v>
      </c>
      <c r="P861" s="23" t="n">
        <v>8118</v>
      </c>
    </row>
    <row r="862">
      <c r="A862" t="inlineStr">
        <is>
          <t>Concor 10 MG</t>
        </is>
      </c>
      <c r="B862" t="inlineStr">
        <is>
          <t>Dakahlia 2</t>
        </is>
      </c>
      <c r="C862" s="22" t="n">
        <v>45536</v>
      </c>
      <c r="D862" t="inlineStr">
        <is>
          <t>Omar Khaled</t>
        </is>
      </c>
      <c r="E862" t="n">
        <v>99</v>
      </c>
      <c r="F862" t="n">
        <v>2336</v>
      </c>
      <c r="G862" t="n">
        <v>2528</v>
      </c>
      <c r="H862" s="23" t="n">
        <v>231264</v>
      </c>
      <c r="I862" s="23" t="n">
        <v>250272</v>
      </c>
      <c r="J862" t="inlineStr">
        <is>
          <t>Sep</t>
        </is>
      </c>
      <c r="K862" t="n">
        <v>9</v>
      </c>
      <c r="L862" t="inlineStr">
        <is>
          <t>Q3</t>
        </is>
      </c>
      <c r="M862" t="n">
        <v>2024</v>
      </c>
      <c r="N862" s="22" t="n">
        <v>45536</v>
      </c>
      <c r="O862" s="24" t="n">
        <v>0.9240506329113924</v>
      </c>
      <c r="P862" s="23" t="n">
        <v>-19008</v>
      </c>
    </row>
    <row r="863">
      <c r="A863" t="inlineStr">
        <is>
          <t>Concor 10 MG</t>
        </is>
      </c>
      <c r="B863" t="inlineStr">
        <is>
          <t>Dakahlia 2</t>
        </is>
      </c>
      <c r="C863" s="22" t="n">
        <v>45566</v>
      </c>
      <c r="D863" t="inlineStr">
        <is>
          <t>Omar Khaled</t>
        </is>
      </c>
      <c r="E863" t="n">
        <v>99</v>
      </c>
      <c r="F863" t="n">
        <v>2649</v>
      </c>
      <c r="G863" t="n">
        <v>2432</v>
      </c>
      <c r="H863" s="23" t="n">
        <v>262251</v>
      </c>
      <c r="I863" s="23" t="n">
        <v>240768</v>
      </c>
      <c r="J863" t="inlineStr">
        <is>
          <t>Oct</t>
        </is>
      </c>
      <c r="K863" t="n">
        <v>10</v>
      </c>
      <c r="L863" t="inlineStr">
        <is>
          <t>Q4</t>
        </is>
      </c>
      <c r="M863" t="n">
        <v>2024</v>
      </c>
      <c r="N863" s="22" t="n">
        <v>45566</v>
      </c>
      <c r="O863" s="24" t="n">
        <v>1.089226973684211</v>
      </c>
      <c r="P863" s="23" t="n">
        <v>21483</v>
      </c>
    </row>
    <row r="864">
      <c r="A864" t="inlineStr">
        <is>
          <t>Concor 10 MG</t>
        </is>
      </c>
      <c r="B864" t="inlineStr">
        <is>
          <t>Dakahlia 2</t>
        </is>
      </c>
      <c r="C864" s="22" t="n">
        <v>45597</v>
      </c>
      <c r="D864" t="inlineStr">
        <is>
          <t>Omar Khaled</t>
        </is>
      </c>
      <c r="E864" t="n">
        <v>99</v>
      </c>
      <c r="F864" t="n">
        <v>2649</v>
      </c>
      <c r="G864" t="n">
        <v>2821</v>
      </c>
      <c r="H864" s="23" t="n">
        <v>262251</v>
      </c>
      <c r="I864" s="23" t="n">
        <v>279279</v>
      </c>
      <c r="J864" t="inlineStr">
        <is>
          <t>Nov</t>
        </is>
      </c>
      <c r="K864" t="n">
        <v>11</v>
      </c>
      <c r="L864" t="inlineStr">
        <is>
          <t>Q4</t>
        </is>
      </c>
      <c r="M864" t="n">
        <v>2024</v>
      </c>
      <c r="N864" s="22" t="n">
        <v>45597</v>
      </c>
      <c r="O864" s="24" t="n">
        <v>0.9390287132222616</v>
      </c>
      <c r="P864" s="23" t="n">
        <v>-17028</v>
      </c>
    </row>
    <row r="865">
      <c r="A865" t="inlineStr">
        <is>
          <t>Concor 10 MG</t>
        </is>
      </c>
      <c r="B865" t="inlineStr">
        <is>
          <t>Dakahlia 2</t>
        </is>
      </c>
      <c r="C865" s="22" t="n">
        <v>45627</v>
      </c>
      <c r="D865" t="inlineStr">
        <is>
          <t>Omar Khaled</t>
        </is>
      </c>
      <c r="E865" t="n">
        <v>99</v>
      </c>
      <c r="F865" t="n">
        <v>3705</v>
      </c>
      <c r="G865" t="n">
        <v>3491</v>
      </c>
      <c r="H865" s="23" t="n">
        <v>366795</v>
      </c>
      <c r="I865" s="23" t="n">
        <v>345609</v>
      </c>
      <c r="J865" t="inlineStr">
        <is>
          <t>Dec</t>
        </is>
      </c>
      <c r="K865" t="n">
        <v>12</v>
      </c>
      <c r="L865" t="inlineStr">
        <is>
          <t>Q4</t>
        </is>
      </c>
      <c r="M865" t="n">
        <v>2024</v>
      </c>
      <c r="N865" s="22" t="n">
        <v>45627</v>
      </c>
      <c r="O865" s="24" t="n">
        <v>1.061300486966485</v>
      </c>
      <c r="P865" s="23" t="n">
        <v>21186</v>
      </c>
    </row>
    <row r="866">
      <c r="A866" t="inlineStr">
        <is>
          <t>Concor 10 MG</t>
        </is>
      </c>
      <c r="B866" t="inlineStr">
        <is>
          <t>Sharqia 1</t>
        </is>
      </c>
      <c r="C866" s="22" t="n">
        <v>45292</v>
      </c>
      <c r="D866" t="inlineStr">
        <is>
          <t>Sara Ibrahim</t>
        </is>
      </c>
      <c r="E866" t="n">
        <v>99</v>
      </c>
      <c r="F866" t="n">
        <v>3788</v>
      </c>
      <c r="G866" t="n">
        <v>3521</v>
      </c>
      <c r="H866" s="23" t="n">
        <v>375012</v>
      </c>
      <c r="I866" s="23" t="n">
        <v>348579</v>
      </c>
      <c r="J866" t="inlineStr">
        <is>
          <t>Jan</t>
        </is>
      </c>
      <c r="K866" t="n">
        <v>1</v>
      </c>
      <c r="L866" t="inlineStr">
        <is>
          <t>Q1</t>
        </is>
      </c>
      <c r="M866" t="n">
        <v>2024</v>
      </c>
      <c r="N866" s="22" t="n">
        <v>45292</v>
      </c>
      <c r="O866" s="24" t="n">
        <v>1.075830729906277</v>
      </c>
      <c r="P866" s="23" t="n">
        <v>26433</v>
      </c>
    </row>
    <row r="867">
      <c r="A867" t="inlineStr">
        <is>
          <t>Concor 10 MG</t>
        </is>
      </c>
      <c r="B867" t="inlineStr">
        <is>
          <t>Sharqia 1</t>
        </is>
      </c>
      <c r="C867" s="22" t="n">
        <v>45323</v>
      </c>
      <c r="D867" t="inlineStr">
        <is>
          <t>Sara Ibrahim</t>
        </is>
      </c>
      <c r="E867" t="n">
        <v>99</v>
      </c>
      <c r="F867" t="n">
        <v>3087</v>
      </c>
      <c r="G867" t="n">
        <v>2991</v>
      </c>
      <c r="H867" s="23" t="n">
        <v>305613</v>
      </c>
      <c r="I867" s="23" t="n">
        <v>296109</v>
      </c>
      <c r="J867" t="inlineStr">
        <is>
          <t>Feb</t>
        </is>
      </c>
      <c r="K867" t="n">
        <v>2</v>
      </c>
      <c r="L867" t="inlineStr">
        <is>
          <t>Q1</t>
        </is>
      </c>
      <c r="M867" t="n">
        <v>2024</v>
      </c>
      <c r="N867" s="22" t="n">
        <v>45323</v>
      </c>
      <c r="O867" s="24" t="n">
        <v>1.0320962888666</v>
      </c>
      <c r="P867" s="23" t="n">
        <v>9504</v>
      </c>
    </row>
    <row r="868">
      <c r="A868" t="inlineStr">
        <is>
          <t>Concor 10 MG</t>
        </is>
      </c>
      <c r="B868" t="inlineStr">
        <is>
          <t>Sharqia 1</t>
        </is>
      </c>
      <c r="C868" s="22" t="n">
        <v>45352</v>
      </c>
      <c r="D868" t="inlineStr">
        <is>
          <t>Sara Ibrahim</t>
        </is>
      </c>
      <c r="E868" t="n">
        <v>99</v>
      </c>
      <c r="F868" t="n">
        <v>3361</v>
      </c>
      <c r="G868" t="n">
        <v>3250</v>
      </c>
      <c r="H868" s="23" t="n">
        <v>332739</v>
      </c>
      <c r="I868" s="23" t="n">
        <v>321750</v>
      </c>
      <c r="J868" t="inlineStr">
        <is>
          <t>Mar</t>
        </is>
      </c>
      <c r="K868" t="n">
        <v>3</v>
      </c>
      <c r="L868" t="inlineStr">
        <is>
          <t>Q1</t>
        </is>
      </c>
      <c r="M868" t="n">
        <v>2024</v>
      </c>
      <c r="N868" s="22" t="n">
        <v>45352</v>
      </c>
      <c r="O868" s="24" t="n">
        <v>1.034153846153846</v>
      </c>
      <c r="P868" s="23" t="n">
        <v>10989</v>
      </c>
    </row>
    <row r="869">
      <c r="A869" t="inlineStr">
        <is>
          <t>Concor 10 MG</t>
        </is>
      </c>
      <c r="B869" t="inlineStr">
        <is>
          <t>Sharqia 1</t>
        </is>
      </c>
      <c r="C869" s="22" t="n">
        <v>45383</v>
      </c>
      <c r="D869" t="inlineStr">
        <is>
          <t>Sara Ibrahim</t>
        </is>
      </c>
      <c r="E869" t="n">
        <v>99</v>
      </c>
      <c r="F869" t="n">
        <v>3740</v>
      </c>
      <c r="G869" t="n">
        <v>3463</v>
      </c>
      <c r="H869" s="23" t="n">
        <v>370260</v>
      </c>
      <c r="I869" s="23" t="n">
        <v>342837</v>
      </c>
      <c r="J869" t="inlineStr">
        <is>
          <t>Apr</t>
        </is>
      </c>
      <c r="K869" t="n">
        <v>4</v>
      </c>
      <c r="L869" t="inlineStr">
        <is>
          <t>Q2</t>
        </is>
      </c>
      <c r="M869" t="n">
        <v>2024</v>
      </c>
      <c r="N869" s="22" t="n">
        <v>45383</v>
      </c>
      <c r="O869" s="24" t="n">
        <v>1.079988449321398</v>
      </c>
      <c r="P869" s="23" t="n">
        <v>27423</v>
      </c>
    </row>
    <row r="870">
      <c r="A870" t="inlineStr">
        <is>
          <t>Concor 10 MG</t>
        </is>
      </c>
      <c r="B870" t="inlineStr">
        <is>
          <t>Sharqia 1</t>
        </is>
      </c>
      <c r="C870" s="22" t="n">
        <v>45413</v>
      </c>
      <c r="D870" t="inlineStr">
        <is>
          <t>Sara Ibrahim</t>
        </is>
      </c>
      <c r="E870" t="n">
        <v>99</v>
      </c>
      <c r="F870" t="n">
        <v>2711</v>
      </c>
      <c r="G870" t="n">
        <v>2612</v>
      </c>
      <c r="H870" s="23" t="n">
        <v>268389</v>
      </c>
      <c r="I870" s="23" t="n">
        <v>258588</v>
      </c>
      <c r="J870" t="inlineStr">
        <is>
          <t>May</t>
        </is>
      </c>
      <c r="K870" t="n">
        <v>5</v>
      </c>
      <c r="L870" t="inlineStr">
        <is>
          <t>Q2</t>
        </is>
      </c>
      <c r="M870" t="n">
        <v>2024</v>
      </c>
      <c r="N870" s="22" t="n">
        <v>45413</v>
      </c>
      <c r="O870" s="24" t="n">
        <v>1.037901990811639</v>
      </c>
      <c r="P870" s="23" t="n">
        <v>9801</v>
      </c>
    </row>
    <row r="871">
      <c r="A871" t="inlineStr">
        <is>
          <t>Concor 10 MG</t>
        </is>
      </c>
      <c r="B871" t="inlineStr">
        <is>
          <t>Sharqia 1</t>
        </is>
      </c>
      <c r="C871" s="22" t="n">
        <v>45444</v>
      </c>
      <c r="D871" t="inlineStr">
        <is>
          <t>Sara Ibrahim</t>
        </is>
      </c>
      <c r="E871" t="n">
        <v>99</v>
      </c>
      <c r="F871" t="n">
        <v>3490</v>
      </c>
      <c r="G871" t="n">
        <v>3447</v>
      </c>
      <c r="H871" s="23" t="n">
        <v>345510</v>
      </c>
      <c r="I871" s="23" t="n">
        <v>341253</v>
      </c>
      <c r="J871" t="inlineStr">
        <is>
          <t>Jun</t>
        </is>
      </c>
      <c r="K871" t="n">
        <v>6</v>
      </c>
      <c r="L871" t="inlineStr">
        <is>
          <t>Q2</t>
        </is>
      </c>
      <c r="M871" t="n">
        <v>2024</v>
      </c>
      <c r="N871" s="22" t="n">
        <v>45444</v>
      </c>
      <c r="O871" s="24" t="n">
        <v>1.012474615607775</v>
      </c>
      <c r="P871" s="23" t="n">
        <v>4257</v>
      </c>
    </row>
    <row r="872">
      <c r="A872" t="inlineStr">
        <is>
          <t>Concor 10 MG</t>
        </is>
      </c>
      <c r="B872" t="inlineStr">
        <is>
          <t>Sharqia 1</t>
        </is>
      </c>
      <c r="C872" s="22" t="n">
        <v>45474</v>
      </c>
      <c r="D872" t="inlineStr">
        <is>
          <t>Sara Ibrahim</t>
        </is>
      </c>
      <c r="E872" t="n">
        <v>99</v>
      </c>
      <c r="F872" t="n">
        <v>2594</v>
      </c>
      <c r="G872" t="n">
        <v>2933</v>
      </c>
      <c r="H872" s="23" t="n">
        <v>256806</v>
      </c>
      <c r="I872" s="23" t="n">
        <v>290367</v>
      </c>
      <c r="J872" t="inlineStr">
        <is>
          <t>Jul</t>
        </is>
      </c>
      <c r="K872" t="n">
        <v>7</v>
      </c>
      <c r="L872" t="inlineStr">
        <is>
          <t>Q3</t>
        </is>
      </c>
      <c r="M872" t="n">
        <v>2024</v>
      </c>
      <c r="N872" s="22" t="n">
        <v>45474</v>
      </c>
      <c r="O872" s="24" t="n">
        <v>0.8844186839413569</v>
      </c>
      <c r="P872" s="23" t="n">
        <v>-33561</v>
      </c>
    </row>
    <row r="873">
      <c r="A873" t="inlineStr">
        <is>
          <t>Concor 10 MG</t>
        </is>
      </c>
      <c r="B873" t="inlineStr">
        <is>
          <t>Sharqia 1</t>
        </is>
      </c>
      <c r="C873" s="22" t="n">
        <v>45505</v>
      </c>
      <c r="D873" t="inlineStr">
        <is>
          <t>Sara Ibrahim</t>
        </is>
      </c>
      <c r="E873" t="n">
        <v>99</v>
      </c>
      <c r="F873" t="n">
        <v>3507</v>
      </c>
      <c r="G873" t="n">
        <v>3338</v>
      </c>
      <c r="H873" s="23" t="n">
        <v>347193</v>
      </c>
      <c r="I873" s="23" t="n">
        <v>330462</v>
      </c>
      <c r="J873" t="inlineStr">
        <is>
          <t>Aug</t>
        </is>
      </c>
      <c r="K873" t="n">
        <v>8</v>
      </c>
      <c r="L873" t="inlineStr">
        <is>
          <t>Q3</t>
        </is>
      </c>
      <c r="M873" t="n">
        <v>2024</v>
      </c>
      <c r="N873" s="22" t="n">
        <v>45505</v>
      </c>
      <c r="O873" s="24" t="n">
        <v>1.050629119233074</v>
      </c>
      <c r="P873" s="23" t="n">
        <v>16731</v>
      </c>
    </row>
    <row r="874">
      <c r="A874" t="inlineStr">
        <is>
          <t>Concor 10 MG</t>
        </is>
      </c>
      <c r="B874" t="inlineStr">
        <is>
          <t>Sharqia 1</t>
        </is>
      </c>
      <c r="C874" s="22" t="n">
        <v>45536</v>
      </c>
      <c r="D874" t="inlineStr">
        <is>
          <t>Sara Ibrahim</t>
        </is>
      </c>
      <c r="E874" t="n">
        <v>99</v>
      </c>
      <c r="F874" t="n">
        <v>2151</v>
      </c>
      <c r="G874" t="n">
        <v>2337</v>
      </c>
      <c r="H874" s="23" t="n">
        <v>212949</v>
      </c>
      <c r="I874" s="23" t="n">
        <v>231363</v>
      </c>
      <c r="J874" t="inlineStr">
        <is>
          <t>Sep</t>
        </is>
      </c>
      <c r="K874" t="n">
        <v>9</v>
      </c>
      <c r="L874" t="inlineStr">
        <is>
          <t>Q3</t>
        </is>
      </c>
      <c r="M874" t="n">
        <v>2024</v>
      </c>
      <c r="N874" s="22" t="n">
        <v>45536</v>
      </c>
      <c r="O874" s="24" t="n">
        <v>0.920410783055199</v>
      </c>
      <c r="P874" s="23" t="n">
        <v>-18414</v>
      </c>
    </row>
    <row r="875">
      <c r="A875" t="inlineStr">
        <is>
          <t>Concor 10 MG</t>
        </is>
      </c>
      <c r="B875" t="inlineStr">
        <is>
          <t>Sharqia 1</t>
        </is>
      </c>
      <c r="C875" s="22" t="n">
        <v>45566</v>
      </c>
      <c r="D875" t="inlineStr">
        <is>
          <t>Sara Ibrahim</t>
        </is>
      </c>
      <c r="E875" t="n">
        <v>99</v>
      </c>
      <c r="F875" t="n">
        <v>3484</v>
      </c>
      <c r="G875" t="n">
        <v>3519</v>
      </c>
      <c r="H875" s="23" t="n">
        <v>344916</v>
      </c>
      <c r="I875" s="23" t="n">
        <v>348381</v>
      </c>
      <c r="J875" t="inlineStr">
        <is>
          <t>Oct</t>
        </is>
      </c>
      <c r="K875" t="n">
        <v>10</v>
      </c>
      <c r="L875" t="inlineStr">
        <is>
          <t>Q4</t>
        </is>
      </c>
      <c r="M875" t="n">
        <v>2024</v>
      </c>
      <c r="N875" s="22" t="n">
        <v>45566</v>
      </c>
      <c r="O875" s="24" t="n">
        <v>0.9900539926115374</v>
      </c>
      <c r="P875" s="23" t="n">
        <v>-3465</v>
      </c>
    </row>
    <row r="876">
      <c r="A876" t="inlineStr">
        <is>
          <t>Concor 10 MG</t>
        </is>
      </c>
      <c r="B876" t="inlineStr">
        <is>
          <t>Sharqia 1</t>
        </is>
      </c>
      <c r="C876" s="22" t="n">
        <v>45597</v>
      </c>
      <c r="D876" t="inlineStr">
        <is>
          <t>Sara Ibrahim</t>
        </is>
      </c>
      <c r="E876" t="n">
        <v>99</v>
      </c>
      <c r="F876" t="n">
        <v>2050</v>
      </c>
      <c r="G876" t="n">
        <v>2243</v>
      </c>
      <c r="H876" s="23" t="n">
        <v>202950</v>
      </c>
      <c r="I876" s="23" t="n">
        <v>222057</v>
      </c>
      <c r="J876" t="inlineStr">
        <is>
          <t>Nov</t>
        </is>
      </c>
      <c r="K876" t="n">
        <v>11</v>
      </c>
      <c r="L876" t="inlineStr">
        <is>
          <t>Q4</t>
        </is>
      </c>
      <c r="M876" t="n">
        <v>2024</v>
      </c>
      <c r="N876" s="22" t="n">
        <v>45597</v>
      </c>
      <c r="O876" s="24" t="n">
        <v>0.9139545251894784</v>
      </c>
      <c r="P876" s="23" t="n">
        <v>-19107</v>
      </c>
    </row>
    <row r="877">
      <c r="A877" t="inlineStr">
        <is>
          <t>Concor 10 MG</t>
        </is>
      </c>
      <c r="B877" t="inlineStr">
        <is>
          <t>Sharqia 1</t>
        </is>
      </c>
      <c r="C877" s="22" t="n">
        <v>45627</v>
      </c>
      <c r="D877" t="inlineStr">
        <is>
          <t>Sara Ibrahim</t>
        </is>
      </c>
      <c r="E877" t="n">
        <v>99</v>
      </c>
      <c r="F877" t="n">
        <v>3242</v>
      </c>
      <c r="G877" t="n">
        <v>3737</v>
      </c>
      <c r="H877" s="23" t="n">
        <v>320958</v>
      </c>
      <c r="I877" s="23" t="n">
        <v>369963</v>
      </c>
      <c r="J877" t="inlineStr">
        <is>
          <t>Dec</t>
        </is>
      </c>
      <c r="K877" t="n">
        <v>12</v>
      </c>
      <c r="L877" t="inlineStr">
        <is>
          <t>Q4</t>
        </is>
      </c>
      <c r="M877" t="n">
        <v>2024</v>
      </c>
      <c r="N877" s="22" t="n">
        <v>45627</v>
      </c>
      <c r="O877" s="24" t="n">
        <v>0.8675408081348676</v>
      </c>
      <c r="P877" s="23" t="n">
        <v>-49005</v>
      </c>
    </row>
    <row r="878">
      <c r="A878" t="inlineStr">
        <is>
          <t>Concor 10 MG</t>
        </is>
      </c>
      <c r="B878" t="inlineStr">
        <is>
          <t>Sharqia 2</t>
        </is>
      </c>
      <c r="C878" s="22" t="n">
        <v>45292</v>
      </c>
      <c r="D878" t="inlineStr">
        <is>
          <t>Youssef Farouk</t>
        </is>
      </c>
      <c r="E878" t="n">
        <v>99</v>
      </c>
      <c r="F878" t="n">
        <v>3006</v>
      </c>
      <c r="G878" t="n">
        <v>3493</v>
      </c>
      <c r="H878" s="23" t="n">
        <v>297594</v>
      </c>
      <c r="I878" s="23" t="n">
        <v>345807</v>
      </c>
      <c r="J878" t="inlineStr">
        <is>
          <t>Jan</t>
        </is>
      </c>
      <c r="K878" t="n">
        <v>1</v>
      </c>
      <c r="L878" t="inlineStr">
        <is>
          <t>Q1</t>
        </is>
      </c>
      <c r="M878" t="n">
        <v>2024</v>
      </c>
      <c r="N878" s="22" t="n">
        <v>45292</v>
      </c>
      <c r="O878" s="24" t="n">
        <v>0.860578299456055</v>
      </c>
      <c r="P878" s="23" t="n">
        <v>-48213</v>
      </c>
    </row>
    <row r="879">
      <c r="A879" t="inlineStr">
        <is>
          <t>Concor 10 MG</t>
        </is>
      </c>
      <c r="B879" t="inlineStr">
        <is>
          <t>Sharqia 2</t>
        </is>
      </c>
      <c r="C879" s="22" t="n">
        <v>45323</v>
      </c>
      <c r="D879" t="inlineStr">
        <is>
          <t>Youssef Farouk</t>
        </is>
      </c>
      <c r="E879" t="n">
        <v>99</v>
      </c>
      <c r="F879" t="n">
        <v>1898</v>
      </c>
      <c r="G879" t="n">
        <v>2104</v>
      </c>
      <c r="H879" s="23" t="n">
        <v>187902</v>
      </c>
      <c r="I879" s="23" t="n">
        <v>208296</v>
      </c>
      <c r="J879" t="inlineStr">
        <is>
          <t>Feb</t>
        </is>
      </c>
      <c r="K879" t="n">
        <v>2</v>
      </c>
      <c r="L879" t="inlineStr">
        <is>
          <t>Q1</t>
        </is>
      </c>
      <c r="M879" t="n">
        <v>2024</v>
      </c>
      <c r="N879" s="22" t="n">
        <v>45323</v>
      </c>
      <c r="O879" s="24" t="n">
        <v>0.9020912547528517</v>
      </c>
      <c r="P879" s="23" t="n">
        <v>-20394</v>
      </c>
    </row>
    <row r="880">
      <c r="A880" t="inlineStr">
        <is>
          <t>Concor 10 MG</t>
        </is>
      </c>
      <c r="B880" t="inlineStr">
        <is>
          <t>Sharqia 2</t>
        </is>
      </c>
      <c r="C880" s="22" t="n">
        <v>45352</v>
      </c>
      <c r="D880" t="inlineStr">
        <is>
          <t>Youssef Farouk</t>
        </is>
      </c>
      <c r="E880" t="n">
        <v>99</v>
      </c>
      <c r="F880" t="n">
        <v>3450</v>
      </c>
      <c r="G880" t="n">
        <v>3680</v>
      </c>
      <c r="H880" s="23" t="n">
        <v>341550</v>
      </c>
      <c r="I880" s="23" t="n">
        <v>364320</v>
      </c>
      <c r="J880" t="inlineStr">
        <is>
          <t>Mar</t>
        </is>
      </c>
      <c r="K880" t="n">
        <v>3</v>
      </c>
      <c r="L880" t="inlineStr">
        <is>
          <t>Q1</t>
        </is>
      </c>
      <c r="M880" t="n">
        <v>2024</v>
      </c>
      <c r="N880" s="22" t="n">
        <v>45352</v>
      </c>
      <c r="O880" s="24" t="n">
        <v>0.9375</v>
      </c>
      <c r="P880" s="23" t="n">
        <v>-22770</v>
      </c>
    </row>
    <row r="881">
      <c r="A881" t="inlineStr">
        <is>
          <t>Concor 10 MG</t>
        </is>
      </c>
      <c r="B881" t="inlineStr">
        <is>
          <t>Sharqia 2</t>
        </is>
      </c>
      <c r="C881" s="22" t="n">
        <v>45383</v>
      </c>
      <c r="D881" t="inlineStr">
        <is>
          <t>Youssef Farouk</t>
        </is>
      </c>
      <c r="E881" t="n">
        <v>99</v>
      </c>
      <c r="F881" t="n">
        <v>3335</v>
      </c>
      <c r="G881" t="n">
        <v>3565</v>
      </c>
      <c r="H881" s="23" t="n">
        <v>330165</v>
      </c>
      <c r="I881" s="23" t="n">
        <v>352935</v>
      </c>
      <c r="J881" t="inlineStr">
        <is>
          <t>Apr</t>
        </is>
      </c>
      <c r="K881" t="n">
        <v>4</v>
      </c>
      <c r="L881" t="inlineStr">
        <is>
          <t>Q2</t>
        </is>
      </c>
      <c r="M881" t="n">
        <v>2024</v>
      </c>
      <c r="N881" s="22" t="n">
        <v>45383</v>
      </c>
      <c r="O881" s="24" t="n">
        <v>0.9354838709677419</v>
      </c>
      <c r="P881" s="23" t="n">
        <v>-22770</v>
      </c>
    </row>
    <row r="882">
      <c r="A882" t="inlineStr">
        <is>
          <t>Concor 10 MG</t>
        </is>
      </c>
      <c r="B882" t="inlineStr">
        <is>
          <t>Sharqia 2</t>
        </is>
      </c>
      <c r="C882" s="22" t="n">
        <v>45413</v>
      </c>
      <c r="D882" t="inlineStr">
        <is>
          <t>Youssef Farouk</t>
        </is>
      </c>
      <c r="E882" t="n">
        <v>99</v>
      </c>
      <c r="F882" t="n">
        <v>3161</v>
      </c>
      <c r="G882" t="n">
        <v>3301</v>
      </c>
      <c r="H882" s="23" t="n">
        <v>312939</v>
      </c>
      <c r="I882" s="23" t="n">
        <v>326799</v>
      </c>
      <c r="J882" t="inlineStr">
        <is>
          <t>May</t>
        </is>
      </c>
      <c r="K882" t="n">
        <v>5</v>
      </c>
      <c r="L882" t="inlineStr">
        <is>
          <t>Q2</t>
        </is>
      </c>
      <c r="M882" t="n">
        <v>2024</v>
      </c>
      <c r="N882" s="22" t="n">
        <v>45413</v>
      </c>
      <c r="O882" s="24" t="n">
        <v>0.957588609512269</v>
      </c>
      <c r="P882" s="23" t="n">
        <v>-13860</v>
      </c>
    </row>
    <row r="883">
      <c r="A883" t="inlineStr">
        <is>
          <t>Concor 10 MG</t>
        </is>
      </c>
      <c r="B883" t="inlineStr">
        <is>
          <t>Sharqia 2</t>
        </is>
      </c>
      <c r="C883" s="22" t="n">
        <v>45444</v>
      </c>
      <c r="D883" t="inlineStr">
        <is>
          <t>Youssef Farouk</t>
        </is>
      </c>
      <c r="E883" t="n">
        <v>99</v>
      </c>
      <c r="F883" t="n">
        <v>3405</v>
      </c>
      <c r="G883" t="n">
        <v>3189</v>
      </c>
      <c r="H883" s="23" t="n">
        <v>337095</v>
      </c>
      <c r="I883" s="23" t="n">
        <v>315711</v>
      </c>
      <c r="J883" t="inlineStr">
        <is>
          <t>Jun</t>
        </is>
      </c>
      <c r="K883" t="n">
        <v>6</v>
      </c>
      <c r="L883" t="inlineStr">
        <is>
          <t>Q2</t>
        </is>
      </c>
      <c r="M883" t="n">
        <v>2024</v>
      </c>
      <c r="N883" s="22" t="n">
        <v>45444</v>
      </c>
      <c r="O883" s="24" t="n">
        <v>1.067732831608655</v>
      </c>
      <c r="P883" s="23" t="n">
        <v>21384</v>
      </c>
    </row>
    <row r="884">
      <c r="A884" t="inlineStr">
        <is>
          <t>Concor 10 MG</t>
        </is>
      </c>
      <c r="B884" t="inlineStr">
        <is>
          <t>Sharqia 2</t>
        </is>
      </c>
      <c r="C884" s="22" t="n">
        <v>45474</v>
      </c>
      <c r="D884" t="inlineStr">
        <is>
          <t>Youssef Farouk</t>
        </is>
      </c>
      <c r="E884" t="n">
        <v>99</v>
      </c>
      <c r="F884" t="n">
        <v>3659</v>
      </c>
      <c r="G884" t="n">
        <v>3869</v>
      </c>
      <c r="H884" s="23" t="n">
        <v>362241</v>
      </c>
      <c r="I884" s="23" t="n">
        <v>383031</v>
      </c>
      <c r="J884" t="inlineStr">
        <is>
          <t>Jul</t>
        </is>
      </c>
      <c r="K884" t="n">
        <v>7</v>
      </c>
      <c r="L884" t="inlineStr">
        <is>
          <t>Q3</t>
        </is>
      </c>
      <c r="M884" t="n">
        <v>2024</v>
      </c>
      <c r="N884" s="22" t="n">
        <v>45474</v>
      </c>
      <c r="O884" s="24" t="n">
        <v>0.9457224088911863</v>
      </c>
      <c r="P884" s="23" t="n">
        <v>-20790</v>
      </c>
    </row>
    <row r="885">
      <c r="A885" t="inlineStr">
        <is>
          <t>Concor 10 MG</t>
        </is>
      </c>
      <c r="B885" t="inlineStr">
        <is>
          <t>Sharqia 2</t>
        </is>
      </c>
      <c r="C885" s="22" t="n">
        <v>45505</v>
      </c>
      <c r="D885" t="inlineStr">
        <is>
          <t>Youssef Farouk</t>
        </is>
      </c>
      <c r="E885" t="n">
        <v>99</v>
      </c>
      <c r="F885" t="n">
        <v>3290</v>
      </c>
      <c r="G885" t="n">
        <v>3368</v>
      </c>
      <c r="H885" s="23" t="n">
        <v>325710</v>
      </c>
      <c r="I885" s="23" t="n">
        <v>333432</v>
      </c>
      <c r="J885" t="inlineStr">
        <is>
          <t>Aug</t>
        </is>
      </c>
      <c r="K885" t="n">
        <v>8</v>
      </c>
      <c r="L885" t="inlineStr">
        <is>
          <t>Q3</t>
        </is>
      </c>
      <c r="M885" t="n">
        <v>2024</v>
      </c>
      <c r="N885" s="22" t="n">
        <v>45505</v>
      </c>
      <c r="O885" s="24" t="n">
        <v>0.9768408551068883</v>
      </c>
      <c r="P885" s="23" t="n">
        <v>-7722</v>
      </c>
    </row>
    <row r="886">
      <c r="A886" t="inlineStr">
        <is>
          <t>Concor 10 MG</t>
        </is>
      </c>
      <c r="B886" t="inlineStr">
        <is>
          <t>Sharqia 2</t>
        </is>
      </c>
      <c r="C886" s="22" t="n">
        <v>45536</v>
      </c>
      <c r="D886" t="inlineStr">
        <is>
          <t>Youssef Farouk</t>
        </is>
      </c>
      <c r="E886" t="n">
        <v>99</v>
      </c>
      <c r="F886" t="n">
        <v>2683</v>
      </c>
      <c r="G886" t="n">
        <v>2826</v>
      </c>
      <c r="H886" s="23" t="n">
        <v>265617</v>
      </c>
      <c r="I886" s="23" t="n">
        <v>279774</v>
      </c>
      <c r="J886" t="inlineStr">
        <is>
          <t>Sep</t>
        </is>
      </c>
      <c r="K886" t="n">
        <v>9</v>
      </c>
      <c r="L886" t="inlineStr">
        <is>
          <t>Q3</t>
        </is>
      </c>
      <c r="M886" t="n">
        <v>2024</v>
      </c>
      <c r="N886" s="22" t="n">
        <v>45536</v>
      </c>
      <c r="O886" s="24" t="n">
        <v>0.9493984430290163</v>
      </c>
      <c r="P886" s="23" t="n">
        <v>-14157</v>
      </c>
    </row>
    <row r="887">
      <c r="A887" t="inlineStr">
        <is>
          <t>Concor 10 MG</t>
        </is>
      </c>
      <c r="B887" t="inlineStr">
        <is>
          <t>Sharqia 2</t>
        </is>
      </c>
      <c r="C887" s="22" t="n">
        <v>45566</v>
      </c>
      <c r="D887" t="inlineStr">
        <is>
          <t>Youssef Farouk</t>
        </is>
      </c>
      <c r="E887" t="n">
        <v>99</v>
      </c>
      <c r="F887" t="n">
        <v>2705</v>
      </c>
      <c r="G887" t="n">
        <v>2912</v>
      </c>
      <c r="H887" s="23" t="n">
        <v>267795</v>
      </c>
      <c r="I887" s="23" t="n">
        <v>288288</v>
      </c>
      <c r="J887" t="inlineStr">
        <is>
          <t>Oct</t>
        </is>
      </c>
      <c r="K887" t="n">
        <v>10</v>
      </c>
      <c r="L887" t="inlineStr">
        <is>
          <t>Q4</t>
        </is>
      </c>
      <c r="M887" t="n">
        <v>2024</v>
      </c>
      <c r="N887" s="22" t="n">
        <v>45566</v>
      </c>
      <c r="O887" s="24" t="n">
        <v>0.9289148351648352</v>
      </c>
      <c r="P887" s="23" t="n">
        <v>-20493</v>
      </c>
    </row>
    <row r="888">
      <c r="A888" t="inlineStr">
        <is>
          <t>Concor 10 MG</t>
        </is>
      </c>
      <c r="B888" t="inlineStr">
        <is>
          <t>Sharqia 2</t>
        </is>
      </c>
      <c r="C888" s="22" t="n">
        <v>45597</v>
      </c>
      <c r="D888" t="inlineStr">
        <is>
          <t>Youssef Farouk</t>
        </is>
      </c>
      <c r="E888" t="n">
        <v>99</v>
      </c>
      <c r="F888" t="n">
        <v>3720</v>
      </c>
      <c r="G888" t="n">
        <v>2700</v>
      </c>
      <c r="H888" s="23" t="n">
        <v>368280</v>
      </c>
      <c r="I888" s="23" t="n">
        <v>267300</v>
      </c>
      <c r="J888" t="inlineStr">
        <is>
          <t>Nov</t>
        </is>
      </c>
      <c r="K888" t="n">
        <v>11</v>
      </c>
      <c r="L888" t="inlineStr">
        <is>
          <t>Q4</t>
        </is>
      </c>
      <c r="M888" t="n">
        <v>2024</v>
      </c>
      <c r="N888" s="22" t="n">
        <v>45597</v>
      </c>
      <c r="O888" s="24" t="n">
        <v>1.377777777777778</v>
      </c>
      <c r="P888" s="23" t="n">
        <v>100980</v>
      </c>
    </row>
    <row r="889">
      <c r="A889" t="inlineStr">
        <is>
          <t>Concor 10 MG</t>
        </is>
      </c>
      <c r="B889" t="inlineStr">
        <is>
          <t>Sharqia 2</t>
        </is>
      </c>
      <c r="C889" s="22" t="n">
        <v>45627</v>
      </c>
      <c r="D889" t="inlineStr">
        <is>
          <t>Youssef Farouk</t>
        </is>
      </c>
      <c r="E889" t="n">
        <v>99</v>
      </c>
      <c r="F889" t="n">
        <v>3228</v>
      </c>
      <c r="G889" t="n">
        <v>3076</v>
      </c>
      <c r="H889" s="23" t="n">
        <v>319572</v>
      </c>
      <c r="I889" s="23" t="n">
        <v>304524</v>
      </c>
      <c r="J889" t="inlineStr">
        <is>
          <t>Dec</t>
        </is>
      </c>
      <c r="K889" t="n">
        <v>12</v>
      </c>
      <c r="L889" t="inlineStr">
        <is>
          <t>Q4</t>
        </is>
      </c>
      <c r="M889" t="n">
        <v>2024</v>
      </c>
      <c r="N889" s="22" t="n">
        <v>45627</v>
      </c>
      <c r="O889" s="24" t="n">
        <v>1.049414824447334</v>
      </c>
      <c r="P889" s="23" t="n">
        <v>15048</v>
      </c>
    </row>
    <row r="890">
      <c r="A890" t="inlineStr">
        <is>
          <t>Cataflam 50 MG</t>
        </is>
      </c>
      <c r="B890" t="inlineStr">
        <is>
          <t>Alexandria 1</t>
        </is>
      </c>
      <c r="C890" s="22" t="n">
        <v>45292</v>
      </c>
      <c r="D890" t="inlineStr">
        <is>
          <t>Ahmed Hassan</t>
        </is>
      </c>
      <c r="E890" t="n">
        <v>86</v>
      </c>
      <c r="F890" t="n">
        <v>2200</v>
      </c>
      <c r="G890" t="n">
        <v>1800</v>
      </c>
      <c r="H890" s="23" t="n">
        <v>189200</v>
      </c>
      <c r="I890" s="23" t="n">
        <v>154800</v>
      </c>
      <c r="J890" t="inlineStr">
        <is>
          <t>Jan</t>
        </is>
      </c>
      <c r="K890" t="n">
        <v>1</v>
      </c>
      <c r="L890" t="inlineStr">
        <is>
          <t>Q1</t>
        </is>
      </c>
      <c r="M890" t="n">
        <v>2024</v>
      </c>
      <c r="N890" s="22" t="n">
        <v>45292</v>
      </c>
      <c r="O890" s="24" t="n">
        <v>1.222222222222222</v>
      </c>
      <c r="P890" s="23" t="n">
        <v>34400</v>
      </c>
    </row>
    <row r="891">
      <c r="A891" t="inlineStr">
        <is>
          <t>Cataflam 50 MG</t>
        </is>
      </c>
      <c r="B891" t="inlineStr">
        <is>
          <t>Alexandria 1</t>
        </is>
      </c>
      <c r="C891" s="22" t="n">
        <v>45323</v>
      </c>
      <c r="D891" t="inlineStr">
        <is>
          <t>Ahmed Hassan</t>
        </is>
      </c>
      <c r="E891" t="n">
        <v>86</v>
      </c>
      <c r="F891" t="n">
        <v>2369</v>
      </c>
      <c r="G891" t="n">
        <v>2385</v>
      </c>
      <c r="H891" s="23" t="n">
        <v>203734</v>
      </c>
      <c r="I891" s="23" t="n">
        <v>205110</v>
      </c>
      <c r="J891" t="inlineStr">
        <is>
          <t>Feb</t>
        </is>
      </c>
      <c r="K891" t="n">
        <v>2</v>
      </c>
      <c r="L891" t="inlineStr">
        <is>
          <t>Q1</t>
        </is>
      </c>
      <c r="M891" t="n">
        <v>2024</v>
      </c>
      <c r="N891" s="22" t="n">
        <v>45323</v>
      </c>
      <c r="O891" s="24" t="n">
        <v>0.9932914046121594</v>
      </c>
      <c r="P891" s="23" t="n">
        <v>-1376</v>
      </c>
    </row>
    <row r="892">
      <c r="A892" t="inlineStr">
        <is>
          <t>Cataflam 50 MG</t>
        </is>
      </c>
      <c r="B892" t="inlineStr">
        <is>
          <t>Alexandria 1</t>
        </is>
      </c>
      <c r="C892" s="22" t="n">
        <v>45352</v>
      </c>
      <c r="D892" t="inlineStr">
        <is>
          <t>Ahmed Hassan</t>
        </is>
      </c>
      <c r="E892" t="n">
        <v>86</v>
      </c>
      <c r="F892" t="n">
        <v>3532</v>
      </c>
      <c r="G892" t="n">
        <v>3000</v>
      </c>
      <c r="H892" s="23" t="n">
        <v>303752</v>
      </c>
      <c r="I892" s="23" t="n">
        <v>258000</v>
      </c>
      <c r="J892" t="inlineStr">
        <is>
          <t>Mar</t>
        </is>
      </c>
      <c r="K892" t="n">
        <v>3</v>
      </c>
      <c r="L892" t="inlineStr">
        <is>
          <t>Q1</t>
        </is>
      </c>
      <c r="M892" t="n">
        <v>2024</v>
      </c>
      <c r="N892" s="22" t="n">
        <v>45352</v>
      </c>
      <c r="O892" s="24" t="n">
        <v>1.177333333333333</v>
      </c>
      <c r="P892" s="23" t="n">
        <v>45752</v>
      </c>
    </row>
    <row r="893">
      <c r="A893" t="inlineStr">
        <is>
          <t>Cataflam 50 MG</t>
        </is>
      </c>
      <c r="B893" t="inlineStr">
        <is>
          <t>Alexandria 1</t>
        </is>
      </c>
      <c r="C893" s="22" t="n">
        <v>45383</v>
      </c>
      <c r="D893" t="inlineStr">
        <is>
          <t>Ahmed Hassan</t>
        </is>
      </c>
      <c r="E893" t="n">
        <v>86</v>
      </c>
      <c r="F893" t="n">
        <v>2642</v>
      </c>
      <c r="G893" t="n">
        <v>2955</v>
      </c>
      <c r="H893" s="23" t="n">
        <v>227212</v>
      </c>
      <c r="I893" s="23" t="n">
        <v>254130</v>
      </c>
      <c r="J893" t="inlineStr">
        <is>
          <t>Apr</t>
        </is>
      </c>
      <c r="K893" t="n">
        <v>4</v>
      </c>
      <c r="L893" t="inlineStr">
        <is>
          <t>Q2</t>
        </is>
      </c>
      <c r="M893" t="n">
        <v>2024</v>
      </c>
      <c r="N893" s="22" t="n">
        <v>45383</v>
      </c>
      <c r="O893" s="24" t="n">
        <v>0.894077834179357</v>
      </c>
      <c r="P893" s="23" t="n">
        <v>-26918</v>
      </c>
    </row>
    <row r="894">
      <c r="A894" t="inlineStr">
        <is>
          <t>Cataflam 50 MG</t>
        </is>
      </c>
      <c r="B894" t="inlineStr">
        <is>
          <t>Alexandria 1</t>
        </is>
      </c>
      <c r="C894" s="22" t="n">
        <v>45413</v>
      </c>
      <c r="D894" t="inlineStr">
        <is>
          <t>Ahmed Hassan</t>
        </is>
      </c>
      <c r="E894" t="n">
        <v>86</v>
      </c>
      <c r="F894" t="n">
        <v>2038</v>
      </c>
      <c r="G894" t="n">
        <v>2161</v>
      </c>
      <c r="H894" s="23" t="n">
        <v>175268</v>
      </c>
      <c r="I894" s="23" t="n">
        <v>185846</v>
      </c>
      <c r="J894" t="inlineStr">
        <is>
          <t>May</t>
        </is>
      </c>
      <c r="K894" t="n">
        <v>5</v>
      </c>
      <c r="L894" t="inlineStr">
        <is>
          <t>Q2</t>
        </is>
      </c>
      <c r="M894" t="n">
        <v>2024</v>
      </c>
      <c r="N894" s="22" t="n">
        <v>45413</v>
      </c>
      <c r="O894" s="24" t="n">
        <v>0.9430819065247571</v>
      </c>
      <c r="P894" s="23" t="n">
        <v>-10578</v>
      </c>
    </row>
    <row r="895">
      <c r="A895" t="inlineStr">
        <is>
          <t>Cataflam 50 MG</t>
        </is>
      </c>
      <c r="B895" t="inlineStr">
        <is>
          <t>Alexandria 1</t>
        </is>
      </c>
      <c r="C895" s="22" t="n">
        <v>45444</v>
      </c>
      <c r="D895" t="inlineStr">
        <is>
          <t>Ahmed Hassan</t>
        </is>
      </c>
      <c r="E895" t="n">
        <v>86</v>
      </c>
      <c r="F895" t="n">
        <v>1870</v>
      </c>
      <c r="G895" t="n">
        <v>2187</v>
      </c>
      <c r="H895" s="23" t="n">
        <v>160820</v>
      </c>
      <c r="I895" s="23" t="n">
        <v>188082</v>
      </c>
      <c r="J895" t="inlineStr">
        <is>
          <t>Jun</t>
        </is>
      </c>
      <c r="K895" t="n">
        <v>6</v>
      </c>
      <c r="L895" t="inlineStr">
        <is>
          <t>Q2</t>
        </is>
      </c>
      <c r="M895" t="n">
        <v>2024</v>
      </c>
      <c r="N895" s="22" t="n">
        <v>45444</v>
      </c>
      <c r="O895" s="24" t="n">
        <v>0.8550525834476452</v>
      </c>
      <c r="P895" s="23" t="n">
        <v>-27262</v>
      </c>
    </row>
    <row r="896">
      <c r="A896" t="inlineStr">
        <is>
          <t>Cataflam 50 MG</t>
        </is>
      </c>
      <c r="B896" t="inlineStr">
        <is>
          <t>Alexandria 1</t>
        </is>
      </c>
      <c r="C896" s="22" t="n">
        <v>45474</v>
      </c>
      <c r="D896" t="inlineStr">
        <is>
          <t>Ahmed Hassan</t>
        </is>
      </c>
      <c r="E896" t="n">
        <v>86</v>
      </c>
      <c r="F896" t="n">
        <v>3807</v>
      </c>
      <c r="G896" t="n">
        <v>3513</v>
      </c>
      <c r="H896" s="23" t="n">
        <v>327402</v>
      </c>
      <c r="I896" s="23" t="n">
        <v>302118</v>
      </c>
      <c r="J896" t="inlineStr">
        <is>
          <t>Jul</t>
        </is>
      </c>
      <c r="K896" t="n">
        <v>7</v>
      </c>
      <c r="L896" t="inlineStr">
        <is>
          <t>Q3</t>
        </is>
      </c>
      <c r="M896" t="n">
        <v>2024</v>
      </c>
      <c r="N896" s="22" t="n">
        <v>45474</v>
      </c>
      <c r="O896" s="24" t="n">
        <v>1.083689154568745</v>
      </c>
      <c r="P896" s="23" t="n">
        <v>25284</v>
      </c>
    </row>
    <row r="897">
      <c r="A897" t="inlineStr">
        <is>
          <t>Cataflam 50 MG</t>
        </is>
      </c>
      <c r="B897" t="inlineStr">
        <is>
          <t>Alexandria 1</t>
        </is>
      </c>
      <c r="C897" s="22" t="n">
        <v>45505</v>
      </c>
      <c r="D897" t="inlineStr">
        <is>
          <t>Ahmed Hassan</t>
        </is>
      </c>
      <c r="E897" t="n">
        <v>86</v>
      </c>
      <c r="F897" t="n">
        <v>3470</v>
      </c>
      <c r="G897" t="n">
        <v>3500</v>
      </c>
      <c r="H897" s="23" t="n">
        <v>298420</v>
      </c>
      <c r="I897" s="23" t="n">
        <v>301000</v>
      </c>
      <c r="J897" t="inlineStr">
        <is>
          <t>Aug</t>
        </is>
      </c>
      <c r="K897" t="n">
        <v>8</v>
      </c>
      <c r="L897" t="inlineStr">
        <is>
          <t>Q3</t>
        </is>
      </c>
      <c r="M897" t="n">
        <v>2024</v>
      </c>
      <c r="N897" s="22" t="n">
        <v>45505</v>
      </c>
      <c r="O897" s="24" t="n">
        <v>0.9914285714285714</v>
      </c>
      <c r="P897" s="23" t="n">
        <v>-2580</v>
      </c>
    </row>
    <row r="898">
      <c r="A898" t="inlineStr">
        <is>
          <t>Cataflam 50 MG</t>
        </is>
      </c>
      <c r="B898" t="inlineStr">
        <is>
          <t>Alexandria 1</t>
        </is>
      </c>
      <c r="C898" s="22" t="n">
        <v>45536</v>
      </c>
      <c r="D898" t="inlineStr">
        <is>
          <t>Ahmed Hassan</t>
        </is>
      </c>
      <c r="E898" t="n">
        <v>86</v>
      </c>
      <c r="F898" t="n">
        <v>1809</v>
      </c>
      <c r="G898" t="n">
        <v>2095</v>
      </c>
      <c r="H898" s="23" t="n">
        <v>155574</v>
      </c>
      <c r="I898" s="23" t="n">
        <v>180170</v>
      </c>
      <c r="J898" t="inlineStr">
        <is>
          <t>Sep</t>
        </is>
      </c>
      <c r="K898" t="n">
        <v>9</v>
      </c>
      <c r="L898" t="inlineStr">
        <is>
          <t>Q3</t>
        </is>
      </c>
      <c r="M898" t="n">
        <v>2024</v>
      </c>
      <c r="N898" s="22" t="n">
        <v>45536</v>
      </c>
      <c r="O898" s="24" t="n">
        <v>0.8634844868735083</v>
      </c>
      <c r="P898" s="23" t="n">
        <v>-24596</v>
      </c>
    </row>
    <row r="899">
      <c r="A899" t="inlineStr">
        <is>
          <t>Cataflam 50 MG</t>
        </is>
      </c>
      <c r="B899" t="inlineStr">
        <is>
          <t>Alexandria 1</t>
        </is>
      </c>
      <c r="C899" s="22" t="n">
        <v>45566</v>
      </c>
      <c r="D899" t="inlineStr">
        <is>
          <t>Ahmed Hassan</t>
        </is>
      </c>
      <c r="E899" t="n">
        <v>86</v>
      </c>
      <c r="F899" t="n">
        <v>2687</v>
      </c>
      <c r="G899" t="n">
        <v>2795</v>
      </c>
      <c r="H899" s="23" t="n">
        <v>231082</v>
      </c>
      <c r="I899" s="23" t="n">
        <v>240370</v>
      </c>
      <c r="J899" t="inlineStr">
        <is>
          <t>Oct</t>
        </is>
      </c>
      <c r="K899" t="n">
        <v>10</v>
      </c>
      <c r="L899" t="inlineStr">
        <is>
          <t>Q4</t>
        </is>
      </c>
      <c r="M899" t="n">
        <v>2024</v>
      </c>
      <c r="N899" s="22" t="n">
        <v>45566</v>
      </c>
      <c r="O899" s="24" t="n">
        <v>0.9613595706618963</v>
      </c>
      <c r="P899" s="23" t="n">
        <v>-9288</v>
      </c>
    </row>
    <row r="900">
      <c r="A900" t="inlineStr">
        <is>
          <t>Cataflam 50 MG</t>
        </is>
      </c>
      <c r="B900" t="inlineStr">
        <is>
          <t>Alexandria 1</t>
        </is>
      </c>
      <c r="C900" s="22" t="n">
        <v>45597</v>
      </c>
      <c r="D900" t="inlineStr">
        <is>
          <t>Ahmed Hassan</t>
        </is>
      </c>
      <c r="E900" t="n">
        <v>86</v>
      </c>
      <c r="F900" t="n">
        <v>2810</v>
      </c>
      <c r="G900" t="n">
        <v>2709</v>
      </c>
      <c r="H900" s="23" t="n">
        <v>241660</v>
      </c>
      <c r="I900" s="23" t="n">
        <v>232974</v>
      </c>
      <c r="J900" t="inlineStr">
        <is>
          <t>Nov</t>
        </is>
      </c>
      <c r="K900" t="n">
        <v>11</v>
      </c>
      <c r="L900" t="inlineStr">
        <is>
          <t>Q4</t>
        </is>
      </c>
      <c r="M900" t="n">
        <v>2024</v>
      </c>
      <c r="N900" s="22" t="n">
        <v>45597</v>
      </c>
      <c r="O900" s="24" t="n">
        <v>1.037283130306386</v>
      </c>
      <c r="P900" s="23" t="n">
        <v>8686</v>
      </c>
    </row>
    <row r="901">
      <c r="A901" t="inlineStr">
        <is>
          <t>Cataflam 50 MG</t>
        </is>
      </c>
      <c r="B901" t="inlineStr">
        <is>
          <t>Alexandria 1</t>
        </is>
      </c>
      <c r="C901" s="22" t="n">
        <v>45627</v>
      </c>
      <c r="D901" t="inlineStr">
        <is>
          <t>Ahmed Hassan</t>
        </is>
      </c>
      <c r="E901" t="n">
        <v>86</v>
      </c>
      <c r="F901" t="n">
        <v>3710</v>
      </c>
      <c r="G901" t="n">
        <v>3533</v>
      </c>
      <c r="H901" s="23" t="n">
        <v>319060</v>
      </c>
      <c r="I901" s="23" t="n">
        <v>303838</v>
      </c>
      <c r="J901" t="inlineStr">
        <is>
          <t>Dec</t>
        </is>
      </c>
      <c r="K901" t="n">
        <v>12</v>
      </c>
      <c r="L901" t="inlineStr">
        <is>
          <t>Q4</t>
        </is>
      </c>
      <c r="M901" t="n">
        <v>2024</v>
      </c>
      <c r="N901" s="22" t="n">
        <v>45627</v>
      </c>
      <c r="O901" s="24" t="n">
        <v>1.050099065949618</v>
      </c>
      <c r="P901" s="23" t="n">
        <v>15222</v>
      </c>
    </row>
    <row r="902">
      <c r="A902" t="inlineStr">
        <is>
          <t>Cataflam 50 MG</t>
        </is>
      </c>
      <c r="B902" t="inlineStr">
        <is>
          <t>Alexandria 2</t>
        </is>
      </c>
      <c r="C902" s="22" t="n">
        <v>45292</v>
      </c>
      <c r="D902" t="inlineStr">
        <is>
          <t>Amira Mostafa</t>
        </is>
      </c>
      <c r="E902" t="n">
        <v>86</v>
      </c>
      <c r="F902" t="n">
        <v>2600</v>
      </c>
      <c r="G902" t="n">
        <v>2390</v>
      </c>
      <c r="H902" s="23" t="n">
        <v>223600</v>
      </c>
      <c r="I902" s="23" t="n">
        <v>205540</v>
      </c>
      <c r="J902" t="inlineStr">
        <is>
          <t>Jan</t>
        </is>
      </c>
      <c r="K902" t="n">
        <v>1</v>
      </c>
      <c r="L902" t="inlineStr">
        <is>
          <t>Q1</t>
        </is>
      </c>
      <c r="M902" t="n">
        <v>2024</v>
      </c>
      <c r="N902" s="22" t="n">
        <v>45292</v>
      </c>
      <c r="O902" s="24" t="n">
        <v>1.087866108786611</v>
      </c>
      <c r="P902" s="23" t="n">
        <v>18060</v>
      </c>
    </row>
    <row r="903">
      <c r="A903" t="inlineStr">
        <is>
          <t>Cataflam 50 MG</t>
        </is>
      </c>
      <c r="B903" t="inlineStr">
        <is>
          <t>Alexandria 2</t>
        </is>
      </c>
      <c r="C903" s="22" t="n">
        <v>45323</v>
      </c>
      <c r="D903" t="inlineStr">
        <is>
          <t>Amira Mostafa</t>
        </is>
      </c>
      <c r="E903" t="n">
        <v>86</v>
      </c>
      <c r="F903" t="n">
        <v>2723</v>
      </c>
      <c r="G903" t="n">
        <v>2597</v>
      </c>
      <c r="H903" s="23" t="n">
        <v>234178</v>
      </c>
      <c r="I903" s="23" t="n">
        <v>223342</v>
      </c>
      <c r="J903" t="inlineStr">
        <is>
          <t>Feb</t>
        </is>
      </c>
      <c r="K903" t="n">
        <v>2</v>
      </c>
      <c r="L903" t="inlineStr">
        <is>
          <t>Q1</t>
        </is>
      </c>
      <c r="M903" t="n">
        <v>2024</v>
      </c>
      <c r="N903" s="22" t="n">
        <v>45323</v>
      </c>
      <c r="O903" s="24" t="n">
        <v>1.048517520215633</v>
      </c>
      <c r="P903" s="23" t="n">
        <v>10836</v>
      </c>
    </row>
    <row r="904">
      <c r="A904" t="inlineStr">
        <is>
          <t>Cataflam 50 MG</t>
        </is>
      </c>
      <c r="B904" t="inlineStr">
        <is>
          <t>Alexandria 2</t>
        </is>
      </c>
      <c r="C904" s="22" t="n">
        <v>45352</v>
      </c>
      <c r="D904" t="inlineStr">
        <is>
          <t>Amira Mostafa</t>
        </is>
      </c>
      <c r="E904" t="n">
        <v>86</v>
      </c>
      <c r="F904" t="n">
        <v>3606</v>
      </c>
      <c r="G904" t="n">
        <v>3708</v>
      </c>
      <c r="H904" s="23" t="n">
        <v>310116</v>
      </c>
      <c r="I904" s="23" t="n">
        <v>318888</v>
      </c>
      <c r="J904" t="inlineStr">
        <is>
          <t>Mar</t>
        </is>
      </c>
      <c r="K904" t="n">
        <v>3</v>
      </c>
      <c r="L904" t="inlineStr">
        <is>
          <t>Q1</t>
        </is>
      </c>
      <c r="M904" t="n">
        <v>2024</v>
      </c>
      <c r="N904" s="22" t="n">
        <v>45352</v>
      </c>
      <c r="O904" s="24" t="n">
        <v>0.9724919093851133</v>
      </c>
      <c r="P904" s="23" t="n">
        <v>-8772</v>
      </c>
    </row>
    <row r="905">
      <c r="A905" t="inlineStr">
        <is>
          <t>Cataflam 50 MG</t>
        </is>
      </c>
      <c r="B905" t="inlineStr">
        <is>
          <t>Alexandria 2</t>
        </is>
      </c>
      <c r="C905" s="22" t="n">
        <v>45383</v>
      </c>
      <c r="D905" t="inlineStr">
        <is>
          <t>Amira Mostafa</t>
        </is>
      </c>
      <c r="E905" t="n">
        <v>86</v>
      </c>
      <c r="F905" t="n">
        <v>2195</v>
      </c>
      <c r="G905" t="n">
        <v>2395</v>
      </c>
      <c r="H905" s="23" t="n">
        <v>188770</v>
      </c>
      <c r="I905" s="23" t="n">
        <v>205970</v>
      </c>
      <c r="J905" t="inlineStr">
        <is>
          <t>Apr</t>
        </is>
      </c>
      <c r="K905" t="n">
        <v>4</v>
      </c>
      <c r="L905" t="inlineStr">
        <is>
          <t>Q2</t>
        </is>
      </c>
      <c r="M905" t="n">
        <v>2024</v>
      </c>
      <c r="N905" s="22" t="n">
        <v>45383</v>
      </c>
      <c r="O905" s="24" t="n">
        <v>0.9164926931106472</v>
      </c>
      <c r="P905" s="23" t="n">
        <v>-17200</v>
      </c>
    </row>
    <row r="906">
      <c r="A906" t="inlineStr">
        <is>
          <t>Cataflam 50 MG</t>
        </is>
      </c>
      <c r="B906" t="inlineStr">
        <is>
          <t>Alexandria 2</t>
        </is>
      </c>
      <c r="C906" s="22" t="n">
        <v>45413</v>
      </c>
      <c r="D906" t="inlineStr">
        <is>
          <t>Amira Mostafa</t>
        </is>
      </c>
      <c r="E906" t="n">
        <v>86</v>
      </c>
      <c r="F906" t="n">
        <v>3680</v>
      </c>
      <c r="G906" t="n">
        <v>3822</v>
      </c>
      <c r="H906" s="23" t="n">
        <v>316480</v>
      </c>
      <c r="I906" s="23" t="n">
        <v>328692</v>
      </c>
      <c r="J906" t="inlineStr">
        <is>
          <t>May</t>
        </is>
      </c>
      <c r="K906" t="n">
        <v>5</v>
      </c>
      <c r="L906" t="inlineStr">
        <is>
          <t>Q2</t>
        </is>
      </c>
      <c r="M906" t="n">
        <v>2024</v>
      </c>
      <c r="N906" s="22" t="n">
        <v>45413</v>
      </c>
      <c r="O906" s="24" t="n">
        <v>0.9628466771323915</v>
      </c>
      <c r="P906" s="23" t="n">
        <v>-12212</v>
      </c>
    </row>
    <row r="907">
      <c r="A907" t="inlineStr">
        <is>
          <t>Cataflam 50 MG</t>
        </is>
      </c>
      <c r="B907" t="inlineStr">
        <is>
          <t>Alexandria 2</t>
        </is>
      </c>
      <c r="C907" s="22" t="n">
        <v>45444</v>
      </c>
      <c r="D907" t="inlineStr">
        <is>
          <t>Amira Mostafa</t>
        </is>
      </c>
      <c r="E907" t="n">
        <v>86</v>
      </c>
      <c r="F907" t="n">
        <v>2436</v>
      </c>
      <c r="G907" t="n">
        <v>2566</v>
      </c>
      <c r="H907" s="23" t="n">
        <v>209496</v>
      </c>
      <c r="I907" s="23" t="n">
        <v>220676</v>
      </c>
      <c r="J907" t="inlineStr">
        <is>
          <t>Jun</t>
        </is>
      </c>
      <c r="K907" t="n">
        <v>6</v>
      </c>
      <c r="L907" t="inlineStr">
        <is>
          <t>Q2</t>
        </is>
      </c>
      <c r="M907" t="n">
        <v>2024</v>
      </c>
      <c r="N907" s="22" t="n">
        <v>45444</v>
      </c>
      <c r="O907" s="24" t="n">
        <v>0.9493374902572097</v>
      </c>
      <c r="P907" s="23" t="n">
        <v>-11180</v>
      </c>
    </row>
    <row r="908">
      <c r="A908" t="inlineStr">
        <is>
          <t>Cataflam 50 MG</t>
        </is>
      </c>
      <c r="B908" t="inlineStr">
        <is>
          <t>Alexandria 2</t>
        </is>
      </c>
      <c r="C908" s="22" t="n">
        <v>45474</v>
      </c>
      <c r="D908" t="inlineStr">
        <is>
          <t>Amira Mostafa</t>
        </is>
      </c>
      <c r="E908" t="n">
        <v>86</v>
      </c>
      <c r="F908" t="n">
        <v>2363</v>
      </c>
      <c r="G908" t="n">
        <v>2474</v>
      </c>
      <c r="H908" s="23" t="n">
        <v>203218</v>
      </c>
      <c r="I908" s="23" t="n">
        <v>212764</v>
      </c>
      <c r="J908" t="inlineStr">
        <is>
          <t>Jul</t>
        </is>
      </c>
      <c r="K908" t="n">
        <v>7</v>
      </c>
      <c r="L908" t="inlineStr">
        <is>
          <t>Q3</t>
        </is>
      </c>
      <c r="M908" t="n">
        <v>2024</v>
      </c>
      <c r="N908" s="22" t="n">
        <v>45474</v>
      </c>
      <c r="O908" s="24" t="n">
        <v>0.9551333872271625</v>
      </c>
      <c r="P908" s="23" t="n">
        <v>-9546</v>
      </c>
    </row>
    <row r="909">
      <c r="A909" t="inlineStr">
        <is>
          <t>Cataflam 50 MG</t>
        </is>
      </c>
      <c r="B909" t="inlineStr">
        <is>
          <t>Alexandria 2</t>
        </is>
      </c>
      <c r="C909" s="22" t="n">
        <v>45505</v>
      </c>
      <c r="D909" t="inlineStr">
        <is>
          <t>Amira Mostafa</t>
        </is>
      </c>
      <c r="E909" t="n">
        <v>86</v>
      </c>
      <c r="F909" t="n">
        <v>2068</v>
      </c>
      <c r="G909" t="n">
        <v>2155</v>
      </c>
      <c r="H909" s="23" t="n">
        <v>177848</v>
      </c>
      <c r="I909" s="23" t="n">
        <v>185330</v>
      </c>
      <c r="J909" t="inlineStr">
        <is>
          <t>Aug</t>
        </is>
      </c>
      <c r="K909" t="n">
        <v>8</v>
      </c>
      <c r="L909" t="inlineStr">
        <is>
          <t>Q3</t>
        </is>
      </c>
      <c r="M909" t="n">
        <v>2024</v>
      </c>
      <c r="N909" s="22" t="n">
        <v>45505</v>
      </c>
      <c r="O909" s="24" t="n">
        <v>0.9596287703016241</v>
      </c>
      <c r="P909" s="23" t="n">
        <v>-7482</v>
      </c>
    </row>
    <row r="910">
      <c r="A910" t="inlineStr">
        <is>
          <t>Cataflam 50 MG</t>
        </is>
      </c>
      <c r="B910" t="inlineStr">
        <is>
          <t>Alexandria 2</t>
        </is>
      </c>
      <c r="C910" s="22" t="n">
        <v>45536</v>
      </c>
      <c r="D910" t="inlineStr">
        <is>
          <t>Amira Mostafa</t>
        </is>
      </c>
      <c r="E910" t="n">
        <v>86</v>
      </c>
      <c r="F910" t="n">
        <v>3120</v>
      </c>
      <c r="G910" t="n">
        <v>2951</v>
      </c>
      <c r="H910" s="23" t="n">
        <v>268320</v>
      </c>
      <c r="I910" s="23" t="n">
        <v>253786</v>
      </c>
      <c r="J910" t="inlineStr">
        <is>
          <t>Sep</t>
        </is>
      </c>
      <c r="K910" t="n">
        <v>9</v>
      </c>
      <c r="L910" t="inlineStr">
        <is>
          <t>Q3</t>
        </is>
      </c>
      <c r="M910" t="n">
        <v>2024</v>
      </c>
      <c r="N910" s="22" t="n">
        <v>45536</v>
      </c>
      <c r="O910" s="24" t="n">
        <v>1.05726872246696</v>
      </c>
      <c r="P910" s="23" t="n">
        <v>14534</v>
      </c>
    </row>
    <row r="911">
      <c r="A911" t="inlineStr">
        <is>
          <t>Cataflam 50 MG</t>
        </is>
      </c>
      <c r="B911" t="inlineStr">
        <is>
          <t>Alexandria 2</t>
        </is>
      </c>
      <c r="C911" s="22" t="n">
        <v>45566</v>
      </c>
      <c r="D911" t="inlineStr">
        <is>
          <t>Amira Mostafa</t>
        </is>
      </c>
      <c r="E911" t="n">
        <v>86</v>
      </c>
      <c r="F911" t="n">
        <v>3639</v>
      </c>
      <c r="G911" t="n">
        <v>3701</v>
      </c>
      <c r="H911" s="23" t="n">
        <v>312954</v>
      </c>
      <c r="I911" s="23" t="n">
        <v>318286</v>
      </c>
      <c r="J911" t="inlineStr">
        <is>
          <t>Oct</t>
        </is>
      </c>
      <c r="K911" t="n">
        <v>10</v>
      </c>
      <c r="L911" t="inlineStr">
        <is>
          <t>Q4</t>
        </is>
      </c>
      <c r="M911" t="n">
        <v>2024</v>
      </c>
      <c r="N911" s="22" t="n">
        <v>45566</v>
      </c>
      <c r="O911" s="24" t="n">
        <v>0.9832477708727371</v>
      </c>
      <c r="P911" s="23" t="n">
        <v>-5332</v>
      </c>
    </row>
    <row r="912">
      <c r="A912" t="inlineStr">
        <is>
          <t>Cataflam 50 MG</t>
        </is>
      </c>
      <c r="B912" t="inlineStr">
        <is>
          <t>Alexandria 2</t>
        </is>
      </c>
      <c r="C912" s="22" t="n">
        <v>45597</v>
      </c>
      <c r="D912" t="inlineStr">
        <is>
          <t>Amira Mostafa</t>
        </is>
      </c>
      <c r="E912" t="n">
        <v>86</v>
      </c>
      <c r="F912" t="n">
        <v>2224</v>
      </c>
      <c r="G912" t="n">
        <v>2312</v>
      </c>
      <c r="H912" s="23" t="n">
        <v>191264</v>
      </c>
      <c r="I912" s="23" t="n">
        <v>198832</v>
      </c>
      <c r="J912" t="inlineStr">
        <is>
          <t>Nov</t>
        </is>
      </c>
      <c r="K912" t="n">
        <v>11</v>
      </c>
      <c r="L912" t="inlineStr">
        <is>
          <t>Q4</t>
        </is>
      </c>
      <c r="M912" t="n">
        <v>2024</v>
      </c>
      <c r="N912" s="22" t="n">
        <v>45597</v>
      </c>
      <c r="O912" s="24" t="n">
        <v>0.9619377162629758</v>
      </c>
      <c r="P912" s="23" t="n">
        <v>-7568</v>
      </c>
    </row>
    <row r="913">
      <c r="A913" t="inlineStr">
        <is>
          <t>Cataflam 50 MG</t>
        </is>
      </c>
      <c r="B913" t="inlineStr">
        <is>
          <t>Alexandria 2</t>
        </is>
      </c>
      <c r="C913" s="22" t="n">
        <v>45627</v>
      </c>
      <c r="D913" t="inlineStr">
        <is>
          <t>Amira Mostafa</t>
        </is>
      </c>
      <c r="E913" t="n">
        <v>86</v>
      </c>
      <c r="F913" t="n">
        <v>1254</v>
      </c>
      <c r="G913" t="n">
        <v>3400</v>
      </c>
      <c r="H913" s="23" t="n">
        <v>107844</v>
      </c>
      <c r="I913" s="23" t="n">
        <v>292400</v>
      </c>
      <c r="J913" t="inlineStr">
        <is>
          <t>Dec</t>
        </is>
      </c>
      <c r="K913" t="n">
        <v>12</v>
      </c>
      <c r="L913" t="inlineStr">
        <is>
          <t>Q4</t>
        </is>
      </c>
      <c r="M913" t="n">
        <v>2024</v>
      </c>
      <c r="N913" s="22" t="n">
        <v>45627</v>
      </c>
      <c r="O913" s="24" t="n">
        <v>0.3688235294117647</v>
      </c>
      <c r="P913" s="23" t="n">
        <v>-184556</v>
      </c>
    </row>
    <row r="914">
      <c r="A914" t="inlineStr">
        <is>
          <t>Cataflam 50 MG</t>
        </is>
      </c>
      <c r="B914" t="inlineStr">
        <is>
          <t>Cairo 1</t>
        </is>
      </c>
      <c r="C914" s="22" t="n">
        <v>45292</v>
      </c>
      <c r="D914" t="inlineStr">
        <is>
          <t>Fatma Ali</t>
        </is>
      </c>
      <c r="E914" t="n">
        <v>86</v>
      </c>
      <c r="F914" t="n">
        <v>2542</v>
      </c>
      <c r="G914" t="n">
        <v>2342</v>
      </c>
      <c r="H914" s="23" t="n">
        <v>218612</v>
      </c>
      <c r="I914" s="23" t="n">
        <v>201412</v>
      </c>
      <c r="J914" t="inlineStr">
        <is>
          <t>Jan</t>
        </is>
      </c>
      <c r="K914" t="n">
        <v>1</v>
      </c>
      <c r="L914" t="inlineStr">
        <is>
          <t>Q1</t>
        </is>
      </c>
      <c r="M914" t="n">
        <v>2024</v>
      </c>
      <c r="N914" s="22" t="n">
        <v>45292</v>
      </c>
      <c r="O914" s="24" t="n">
        <v>1.085397096498719</v>
      </c>
      <c r="P914" s="23" t="n">
        <v>17200</v>
      </c>
    </row>
    <row r="915">
      <c r="A915" t="inlineStr">
        <is>
          <t>Cataflam 50 MG</t>
        </is>
      </c>
      <c r="B915" t="inlineStr">
        <is>
          <t>Cairo 1</t>
        </is>
      </c>
      <c r="C915" s="22" t="n">
        <v>45323</v>
      </c>
      <c r="D915" t="inlineStr">
        <is>
          <t>Fatma Ali</t>
        </is>
      </c>
      <c r="E915" t="n">
        <v>86</v>
      </c>
      <c r="F915" t="n">
        <v>2114</v>
      </c>
      <c r="G915" t="n">
        <v>2469</v>
      </c>
      <c r="H915" s="23" t="n">
        <v>181804</v>
      </c>
      <c r="I915" s="23" t="n">
        <v>212334</v>
      </c>
      <c r="J915" t="inlineStr">
        <is>
          <t>Feb</t>
        </is>
      </c>
      <c r="K915" t="n">
        <v>2</v>
      </c>
      <c r="L915" t="inlineStr">
        <is>
          <t>Q1</t>
        </is>
      </c>
      <c r="M915" t="n">
        <v>2024</v>
      </c>
      <c r="N915" s="22" t="n">
        <v>45323</v>
      </c>
      <c r="O915" s="24" t="n">
        <v>0.8562170919400567</v>
      </c>
      <c r="P915" s="23" t="n">
        <v>-30530</v>
      </c>
    </row>
    <row r="916">
      <c r="A916" t="inlineStr">
        <is>
          <t>Cataflam 50 MG</t>
        </is>
      </c>
      <c r="B916" t="inlineStr">
        <is>
          <t>Cairo 1</t>
        </is>
      </c>
      <c r="C916" s="22" t="n">
        <v>45352</v>
      </c>
      <c r="D916" t="inlineStr">
        <is>
          <t>Fatma Ali</t>
        </is>
      </c>
      <c r="E916" t="n">
        <v>86</v>
      </c>
      <c r="F916" t="n">
        <v>1944</v>
      </c>
      <c r="G916" t="n">
        <v>2089</v>
      </c>
      <c r="H916" s="23" t="n">
        <v>167184</v>
      </c>
      <c r="I916" s="23" t="n">
        <v>179654</v>
      </c>
      <c r="J916" t="inlineStr">
        <is>
          <t>Mar</t>
        </is>
      </c>
      <c r="K916" t="n">
        <v>3</v>
      </c>
      <c r="L916" t="inlineStr">
        <is>
          <t>Q1</t>
        </is>
      </c>
      <c r="M916" t="n">
        <v>2024</v>
      </c>
      <c r="N916" s="22" t="n">
        <v>45352</v>
      </c>
      <c r="O916" s="24" t="n">
        <v>0.9305887984681666</v>
      </c>
      <c r="P916" s="23" t="n">
        <v>-12470</v>
      </c>
    </row>
    <row r="917">
      <c r="A917" t="inlineStr">
        <is>
          <t>Cataflam 50 MG</t>
        </is>
      </c>
      <c r="B917" t="inlineStr">
        <is>
          <t>Cairo 1</t>
        </is>
      </c>
      <c r="C917" s="22" t="n">
        <v>45383</v>
      </c>
      <c r="D917" t="inlineStr">
        <is>
          <t>Fatma Ali</t>
        </is>
      </c>
      <c r="E917" t="n">
        <v>86</v>
      </c>
      <c r="F917" t="n">
        <v>3600</v>
      </c>
      <c r="G917" t="n">
        <v>3408</v>
      </c>
      <c r="H917" s="23" t="n">
        <v>309600</v>
      </c>
      <c r="I917" s="23" t="n">
        <v>293088</v>
      </c>
      <c r="J917" t="inlineStr">
        <is>
          <t>Apr</t>
        </is>
      </c>
      <c r="K917" t="n">
        <v>4</v>
      </c>
      <c r="L917" t="inlineStr">
        <is>
          <t>Q2</t>
        </is>
      </c>
      <c r="M917" t="n">
        <v>2024</v>
      </c>
      <c r="N917" s="22" t="n">
        <v>45383</v>
      </c>
      <c r="O917" s="24" t="n">
        <v>1.056338028169014</v>
      </c>
      <c r="P917" s="23" t="n">
        <v>16512</v>
      </c>
    </row>
    <row r="918">
      <c r="A918" t="inlineStr">
        <is>
          <t>Cataflam 50 MG</t>
        </is>
      </c>
      <c r="B918" t="inlineStr">
        <is>
          <t>Cairo 1</t>
        </is>
      </c>
      <c r="C918" s="22" t="n">
        <v>45413</v>
      </c>
      <c r="D918" t="inlineStr">
        <is>
          <t>Fatma Ali</t>
        </is>
      </c>
      <c r="E918" t="n">
        <v>86</v>
      </c>
      <c r="F918" t="n">
        <v>2111</v>
      </c>
      <c r="G918" t="n">
        <v>2151</v>
      </c>
      <c r="H918" s="23" t="n">
        <v>181546</v>
      </c>
      <c r="I918" s="23" t="n">
        <v>184986</v>
      </c>
      <c r="J918" t="inlineStr">
        <is>
          <t>May</t>
        </is>
      </c>
      <c r="K918" t="n">
        <v>5</v>
      </c>
      <c r="L918" t="inlineStr">
        <is>
          <t>Q2</t>
        </is>
      </c>
      <c r="M918" t="n">
        <v>2024</v>
      </c>
      <c r="N918" s="22" t="n">
        <v>45413</v>
      </c>
      <c r="O918" s="24" t="n">
        <v>0.9814039981403998</v>
      </c>
      <c r="P918" s="23" t="n">
        <v>-3440</v>
      </c>
    </row>
    <row r="919">
      <c r="A919" t="inlineStr">
        <is>
          <t>Cataflam 50 MG</t>
        </is>
      </c>
      <c r="B919" t="inlineStr">
        <is>
          <t>Cairo 1</t>
        </is>
      </c>
      <c r="C919" s="22" t="n">
        <v>45444</v>
      </c>
      <c r="D919" t="inlineStr">
        <is>
          <t>Fatma Ali</t>
        </is>
      </c>
      <c r="E919" t="n">
        <v>86</v>
      </c>
      <c r="F919" t="n">
        <v>2459</v>
      </c>
      <c r="G919" t="n">
        <v>2482</v>
      </c>
      <c r="H919" s="23" t="n">
        <v>211474</v>
      </c>
      <c r="I919" s="23" t="n">
        <v>213452</v>
      </c>
      <c r="J919" t="inlineStr">
        <is>
          <t>Jun</t>
        </is>
      </c>
      <c r="K919" t="n">
        <v>6</v>
      </c>
      <c r="L919" t="inlineStr">
        <is>
          <t>Q2</t>
        </is>
      </c>
      <c r="M919" t="n">
        <v>2024</v>
      </c>
      <c r="N919" s="22" t="n">
        <v>45444</v>
      </c>
      <c r="O919" s="24" t="n">
        <v>0.9907332796132151</v>
      </c>
      <c r="P919" s="23" t="n">
        <v>-1978</v>
      </c>
    </row>
    <row r="920">
      <c r="A920" t="inlineStr">
        <is>
          <t>Cataflam 50 MG</t>
        </is>
      </c>
      <c r="B920" t="inlineStr">
        <is>
          <t>Cairo 1</t>
        </is>
      </c>
      <c r="C920" s="22" t="n">
        <v>45474</v>
      </c>
      <c r="D920" t="inlineStr">
        <is>
          <t>Fatma Ali</t>
        </is>
      </c>
      <c r="E920" t="n">
        <v>86</v>
      </c>
      <c r="F920" t="n">
        <v>3632</v>
      </c>
      <c r="G920" t="n">
        <v>3826</v>
      </c>
      <c r="H920" s="23" t="n">
        <v>312352</v>
      </c>
      <c r="I920" s="23" t="n">
        <v>329036</v>
      </c>
      <c r="J920" t="inlineStr">
        <is>
          <t>Jul</t>
        </is>
      </c>
      <c r="K920" t="n">
        <v>7</v>
      </c>
      <c r="L920" t="inlineStr">
        <is>
          <t>Q3</t>
        </is>
      </c>
      <c r="M920" t="n">
        <v>2024</v>
      </c>
      <c r="N920" s="22" t="n">
        <v>45474</v>
      </c>
      <c r="O920" s="24" t="n">
        <v>0.9492943021432305</v>
      </c>
      <c r="P920" s="23" t="n">
        <v>-16684</v>
      </c>
    </row>
    <row r="921">
      <c r="A921" t="inlineStr">
        <is>
          <t>Cataflam 50 MG</t>
        </is>
      </c>
      <c r="B921" t="inlineStr">
        <is>
          <t>Cairo 1</t>
        </is>
      </c>
      <c r="C921" s="22" t="n">
        <v>45505</v>
      </c>
      <c r="D921" t="inlineStr">
        <is>
          <t>Fatma Ali</t>
        </is>
      </c>
      <c r="E921" t="n">
        <v>86</v>
      </c>
      <c r="F921" t="n">
        <v>1943</v>
      </c>
      <c r="G921" t="n">
        <v>2035</v>
      </c>
      <c r="H921" s="23" t="n">
        <v>167098</v>
      </c>
      <c r="I921" s="23" t="n">
        <v>175010</v>
      </c>
      <c r="J921" t="inlineStr">
        <is>
          <t>Aug</t>
        </is>
      </c>
      <c r="K921" t="n">
        <v>8</v>
      </c>
      <c r="L921" t="inlineStr">
        <is>
          <t>Q3</t>
        </is>
      </c>
      <c r="M921" t="n">
        <v>2024</v>
      </c>
      <c r="N921" s="22" t="n">
        <v>45505</v>
      </c>
      <c r="O921" s="24" t="n">
        <v>0.9547911547911548</v>
      </c>
      <c r="P921" s="23" t="n">
        <v>-7912</v>
      </c>
    </row>
    <row r="922">
      <c r="A922" t="inlineStr">
        <is>
          <t>Cataflam 50 MG</t>
        </is>
      </c>
      <c r="B922" t="inlineStr">
        <is>
          <t>Cairo 1</t>
        </is>
      </c>
      <c r="C922" s="22" t="n">
        <v>45536</v>
      </c>
      <c r="D922" t="inlineStr">
        <is>
          <t>Fatma Ali</t>
        </is>
      </c>
      <c r="E922" t="n">
        <v>86</v>
      </c>
      <c r="F922" t="n">
        <v>3295</v>
      </c>
      <c r="G922" t="n">
        <v>3253</v>
      </c>
      <c r="H922" s="23" t="n">
        <v>283370</v>
      </c>
      <c r="I922" s="23" t="n">
        <v>279758</v>
      </c>
      <c r="J922" t="inlineStr">
        <is>
          <t>Sep</t>
        </is>
      </c>
      <c r="K922" t="n">
        <v>9</v>
      </c>
      <c r="L922" t="inlineStr">
        <is>
          <t>Q3</t>
        </is>
      </c>
      <c r="M922" t="n">
        <v>2024</v>
      </c>
      <c r="N922" s="22" t="n">
        <v>45536</v>
      </c>
      <c r="O922" s="24" t="n">
        <v>1.012911158930218</v>
      </c>
      <c r="P922" s="23" t="n">
        <v>3612</v>
      </c>
    </row>
    <row r="923">
      <c r="A923" t="inlineStr">
        <is>
          <t>Cataflam 50 MG</t>
        </is>
      </c>
      <c r="B923" t="inlineStr">
        <is>
          <t>Cairo 1</t>
        </is>
      </c>
      <c r="C923" s="22" t="n">
        <v>45566</v>
      </c>
      <c r="D923" t="inlineStr">
        <is>
          <t>Fatma Ali</t>
        </is>
      </c>
      <c r="E923" t="n">
        <v>86</v>
      </c>
      <c r="F923" t="n">
        <v>2979</v>
      </c>
      <c r="G923" t="n">
        <v>3465</v>
      </c>
      <c r="H923" s="23" t="n">
        <v>256194</v>
      </c>
      <c r="I923" s="23" t="n">
        <v>297990</v>
      </c>
      <c r="J923" t="inlineStr">
        <is>
          <t>Oct</t>
        </is>
      </c>
      <c r="K923" t="n">
        <v>10</v>
      </c>
      <c r="L923" t="inlineStr">
        <is>
          <t>Q4</t>
        </is>
      </c>
      <c r="M923" t="n">
        <v>2024</v>
      </c>
      <c r="N923" s="22" t="n">
        <v>45566</v>
      </c>
      <c r="O923" s="24" t="n">
        <v>0.8597402597402597</v>
      </c>
      <c r="P923" s="23" t="n">
        <v>-41796</v>
      </c>
    </row>
    <row r="924">
      <c r="A924" t="inlineStr">
        <is>
          <t>Cataflam 50 MG</t>
        </is>
      </c>
      <c r="B924" t="inlineStr">
        <is>
          <t>Cairo 1</t>
        </is>
      </c>
      <c r="C924" s="22" t="n">
        <v>45597</v>
      </c>
      <c r="D924" t="inlineStr">
        <is>
          <t>Fatma Ali</t>
        </is>
      </c>
      <c r="E924" t="n">
        <v>86</v>
      </c>
      <c r="F924" t="n">
        <v>2098</v>
      </c>
      <c r="G924" t="n">
        <v>2236</v>
      </c>
      <c r="H924" s="23" t="n">
        <v>180428</v>
      </c>
      <c r="I924" s="23" t="n">
        <v>192296</v>
      </c>
      <c r="J924" t="inlineStr">
        <is>
          <t>Nov</t>
        </is>
      </c>
      <c r="K924" t="n">
        <v>11</v>
      </c>
      <c r="L924" t="inlineStr">
        <is>
          <t>Q4</t>
        </is>
      </c>
      <c r="M924" t="n">
        <v>2024</v>
      </c>
      <c r="N924" s="22" t="n">
        <v>45597</v>
      </c>
      <c r="O924" s="24" t="n">
        <v>0.9382826475849732</v>
      </c>
      <c r="P924" s="23" t="n">
        <v>-11868</v>
      </c>
    </row>
    <row r="925">
      <c r="A925" t="inlineStr">
        <is>
          <t>Cataflam 50 MG</t>
        </is>
      </c>
      <c r="B925" t="inlineStr">
        <is>
          <t>Cairo 1</t>
        </is>
      </c>
      <c r="C925" s="22" t="n">
        <v>45627</v>
      </c>
      <c r="D925" t="inlineStr">
        <is>
          <t>Fatma Ali</t>
        </is>
      </c>
      <c r="E925" t="n">
        <v>86</v>
      </c>
      <c r="F925" t="n">
        <v>3583</v>
      </c>
      <c r="G925" t="n">
        <v>3573</v>
      </c>
      <c r="H925" s="23" t="n">
        <v>308138</v>
      </c>
      <c r="I925" s="23" t="n">
        <v>307278</v>
      </c>
      <c r="J925" t="inlineStr">
        <is>
          <t>Dec</t>
        </is>
      </c>
      <c r="K925" t="n">
        <v>12</v>
      </c>
      <c r="L925" t="inlineStr">
        <is>
          <t>Q4</t>
        </is>
      </c>
      <c r="M925" t="n">
        <v>2024</v>
      </c>
      <c r="N925" s="22" t="n">
        <v>45627</v>
      </c>
      <c r="O925" s="24" t="n">
        <v>1.002798768541842</v>
      </c>
      <c r="P925" s="23" t="n">
        <v>860</v>
      </c>
    </row>
    <row r="926">
      <c r="A926" t="inlineStr">
        <is>
          <t>Cataflam 50 MG</t>
        </is>
      </c>
      <c r="B926" t="inlineStr">
        <is>
          <t>Cairo 2</t>
        </is>
      </c>
      <c r="C926" s="22" t="n">
        <v>45292</v>
      </c>
      <c r="D926" t="inlineStr">
        <is>
          <t>Hassan El-Shamy</t>
        </is>
      </c>
      <c r="E926" t="n">
        <v>86</v>
      </c>
      <c r="F926" t="n">
        <v>2772</v>
      </c>
      <c r="G926" t="n">
        <v>2658</v>
      </c>
      <c r="H926" s="23" t="n">
        <v>238392</v>
      </c>
      <c r="I926" s="23" t="n">
        <v>228588</v>
      </c>
      <c r="J926" t="inlineStr">
        <is>
          <t>Jan</t>
        </is>
      </c>
      <c r="K926" t="n">
        <v>1</v>
      </c>
      <c r="L926" t="inlineStr">
        <is>
          <t>Q1</t>
        </is>
      </c>
      <c r="M926" t="n">
        <v>2024</v>
      </c>
      <c r="N926" s="22" t="n">
        <v>45292</v>
      </c>
      <c r="O926" s="24" t="n">
        <v>1.042889390519187</v>
      </c>
      <c r="P926" s="23" t="n">
        <v>9804</v>
      </c>
    </row>
    <row r="927">
      <c r="A927" t="inlineStr">
        <is>
          <t>Cataflam 50 MG</t>
        </is>
      </c>
      <c r="B927" t="inlineStr">
        <is>
          <t>Cairo 2</t>
        </is>
      </c>
      <c r="C927" s="22" t="n">
        <v>45323</v>
      </c>
      <c r="D927" t="inlineStr">
        <is>
          <t>Hassan El-Shamy</t>
        </is>
      </c>
      <c r="E927" t="n">
        <v>86</v>
      </c>
      <c r="F927" t="n">
        <v>1951</v>
      </c>
      <c r="G927" t="n">
        <v>2193</v>
      </c>
      <c r="H927" s="23" t="n">
        <v>167786</v>
      </c>
      <c r="I927" s="23" t="n">
        <v>188598</v>
      </c>
      <c r="J927" t="inlineStr">
        <is>
          <t>Feb</t>
        </is>
      </c>
      <c r="K927" t="n">
        <v>2</v>
      </c>
      <c r="L927" t="inlineStr">
        <is>
          <t>Q1</t>
        </is>
      </c>
      <c r="M927" t="n">
        <v>2024</v>
      </c>
      <c r="N927" s="22" t="n">
        <v>45323</v>
      </c>
      <c r="O927" s="24" t="n">
        <v>0.8896488828089375</v>
      </c>
      <c r="P927" s="23" t="n">
        <v>-20812</v>
      </c>
    </row>
    <row r="928">
      <c r="A928" t="inlineStr">
        <is>
          <t>Cataflam 50 MG</t>
        </is>
      </c>
      <c r="B928" t="inlineStr">
        <is>
          <t>Cairo 2</t>
        </is>
      </c>
      <c r="C928" s="22" t="n">
        <v>45352</v>
      </c>
      <c r="D928" t="inlineStr">
        <is>
          <t>Hassan El-Shamy</t>
        </is>
      </c>
      <c r="E928" t="n">
        <v>86</v>
      </c>
      <c r="F928" t="n">
        <v>2284</v>
      </c>
      <c r="G928" t="n">
        <v>2092</v>
      </c>
      <c r="H928" s="23" t="n">
        <v>196424</v>
      </c>
      <c r="I928" s="23" t="n">
        <v>179912</v>
      </c>
      <c r="J928" t="inlineStr">
        <is>
          <t>Mar</t>
        </is>
      </c>
      <c r="K928" t="n">
        <v>3</v>
      </c>
      <c r="L928" t="inlineStr">
        <is>
          <t>Q1</t>
        </is>
      </c>
      <c r="M928" t="n">
        <v>2024</v>
      </c>
      <c r="N928" s="22" t="n">
        <v>45352</v>
      </c>
      <c r="O928" s="24" t="n">
        <v>1.091778202676864</v>
      </c>
      <c r="P928" s="23" t="n">
        <v>16512</v>
      </c>
    </row>
    <row r="929">
      <c r="A929" t="inlineStr">
        <is>
          <t>Cataflam 50 MG</t>
        </is>
      </c>
      <c r="B929" t="inlineStr">
        <is>
          <t>Cairo 2</t>
        </is>
      </c>
      <c r="C929" s="22" t="n">
        <v>45383</v>
      </c>
      <c r="D929" t="inlineStr">
        <is>
          <t>Hassan El-Shamy</t>
        </is>
      </c>
      <c r="E929" t="n">
        <v>86</v>
      </c>
      <c r="F929" t="n">
        <v>3500</v>
      </c>
      <c r="G929" t="n">
        <v>3830</v>
      </c>
      <c r="H929" s="23" t="n">
        <v>301000</v>
      </c>
      <c r="I929" s="23" t="n">
        <v>329380</v>
      </c>
      <c r="J929" t="inlineStr">
        <is>
          <t>Apr</t>
        </is>
      </c>
      <c r="K929" t="n">
        <v>4</v>
      </c>
      <c r="L929" t="inlineStr">
        <is>
          <t>Q2</t>
        </is>
      </c>
      <c r="M929" t="n">
        <v>2024</v>
      </c>
      <c r="N929" s="22" t="n">
        <v>45383</v>
      </c>
      <c r="O929" s="24" t="n">
        <v>0.9138381201044387</v>
      </c>
      <c r="P929" s="23" t="n">
        <v>-28380</v>
      </c>
    </row>
    <row r="930">
      <c r="A930" t="inlineStr">
        <is>
          <t>Cataflam 50 MG</t>
        </is>
      </c>
      <c r="B930" t="inlineStr">
        <is>
          <t>Cairo 2</t>
        </is>
      </c>
      <c r="C930" s="22" t="n">
        <v>45413</v>
      </c>
      <c r="D930" t="inlineStr">
        <is>
          <t>Hassan El-Shamy</t>
        </is>
      </c>
      <c r="E930" t="n">
        <v>86</v>
      </c>
      <c r="F930" t="n">
        <v>2212</v>
      </c>
      <c r="G930" t="n">
        <v>2396</v>
      </c>
      <c r="H930" s="23" t="n">
        <v>190232</v>
      </c>
      <c r="I930" s="23" t="n">
        <v>206056</v>
      </c>
      <c r="J930" t="inlineStr">
        <is>
          <t>May</t>
        </is>
      </c>
      <c r="K930" t="n">
        <v>5</v>
      </c>
      <c r="L930" t="inlineStr">
        <is>
          <t>Q2</t>
        </is>
      </c>
      <c r="M930" t="n">
        <v>2024</v>
      </c>
      <c r="N930" s="22" t="n">
        <v>45413</v>
      </c>
      <c r="O930" s="24" t="n">
        <v>0.9232053422370617</v>
      </c>
      <c r="P930" s="23" t="n">
        <v>-15824</v>
      </c>
    </row>
    <row r="931">
      <c r="A931" t="inlineStr">
        <is>
          <t>Cataflam 50 MG</t>
        </is>
      </c>
      <c r="B931" t="inlineStr">
        <is>
          <t>Cairo 2</t>
        </is>
      </c>
      <c r="C931" s="22" t="n">
        <v>45444</v>
      </c>
      <c r="D931" t="inlineStr">
        <is>
          <t>Hassan El-Shamy</t>
        </is>
      </c>
      <c r="E931" t="n">
        <v>86</v>
      </c>
      <c r="F931" t="n">
        <v>1898</v>
      </c>
      <c r="G931" t="n">
        <v>2102</v>
      </c>
      <c r="H931" s="23" t="n">
        <v>163228</v>
      </c>
      <c r="I931" s="23" t="n">
        <v>180772</v>
      </c>
      <c r="J931" t="inlineStr">
        <is>
          <t>Jun</t>
        </is>
      </c>
      <c r="K931" t="n">
        <v>6</v>
      </c>
      <c r="L931" t="inlineStr">
        <is>
          <t>Q2</t>
        </is>
      </c>
      <c r="M931" t="n">
        <v>2024</v>
      </c>
      <c r="N931" s="22" t="n">
        <v>45444</v>
      </c>
      <c r="O931" s="24" t="n">
        <v>0.9029495718363464</v>
      </c>
      <c r="P931" s="23" t="n">
        <v>-17544</v>
      </c>
    </row>
    <row r="932">
      <c r="A932" t="inlineStr">
        <is>
          <t>Cataflam 50 MG</t>
        </is>
      </c>
      <c r="B932" t="inlineStr">
        <is>
          <t>Cairo 2</t>
        </is>
      </c>
      <c r="C932" s="22" t="n">
        <v>45474</v>
      </c>
      <c r="D932" t="inlineStr">
        <is>
          <t>Hassan El-Shamy</t>
        </is>
      </c>
      <c r="E932" t="n">
        <v>86</v>
      </c>
      <c r="F932" t="n">
        <v>2145</v>
      </c>
      <c r="G932" t="n">
        <v>2484</v>
      </c>
      <c r="H932" s="23" t="n">
        <v>184470</v>
      </c>
      <c r="I932" s="23" t="n">
        <v>213624</v>
      </c>
      <c r="J932" t="inlineStr">
        <is>
          <t>Jul</t>
        </is>
      </c>
      <c r="K932" t="n">
        <v>7</v>
      </c>
      <c r="L932" t="inlineStr">
        <is>
          <t>Q3</t>
        </is>
      </c>
      <c r="M932" t="n">
        <v>2024</v>
      </c>
      <c r="N932" s="22" t="n">
        <v>45474</v>
      </c>
      <c r="O932" s="24" t="n">
        <v>0.8635265700483091</v>
      </c>
      <c r="P932" s="23" t="n">
        <v>-29154</v>
      </c>
    </row>
    <row r="933">
      <c r="A933" t="inlineStr">
        <is>
          <t>Cataflam 50 MG</t>
        </is>
      </c>
      <c r="B933" t="inlineStr">
        <is>
          <t>Cairo 2</t>
        </is>
      </c>
      <c r="C933" s="22" t="n">
        <v>45505</v>
      </c>
      <c r="D933" t="inlineStr">
        <is>
          <t>Hassan El-Shamy</t>
        </is>
      </c>
      <c r="E933" t="n">
        <v>86</v>
      </c>
      <c r="F933" t="n">
        <v>2305</v>
      </c>
      <c r="G933" t="n">
        <v>2209</v>
      </c>
      <c r="H933" s="23" t="n">
        <v>198230</v>
      </c>
      <c r="I933" s="23" t="n">
        <v>189974</v>
      </c>
      <c r="J933" t="inlineStr">
        <is>
          <t>Aug</t>
        </is>
      </c>
      <c r="K933" t="n">
        <v>8</v>
      </c>
      <c r="L933" t="inlineStr">
        <is>
          <t>Q3</t>
        </is>
      </c>
      <c r="M933" t="n">
        <v>2024</v>
      </c>
      <c r="N933" s="22" t="n">
        <v>45505</v>
      </c>
      <c r="O933" s="24" t="n">
        <v>1.043458578542327</v>
      </c>
      <c r="P933" s="23" t="n">
        <v>8256</v>
      </c>
    </row>
    <row r="934">
      <c r="A934" t="inlineStr">
        <is>
          <t>Cataflam 50 MG</t>
        </is>
      </c>
      <c r="B934" t="inlineStr">
        <is>
          <t>Cairo 2</t>
        </is>
      </c>
      <c r="C934" s="22" t="n">
        <v>45536</v>
      </c>
      <c r="D934" t="inlineStr">
        <is>
          <t>Hassan El-Shamy</t>
        </is>
      </c>
      <c r="E934" t="n">
        <v>86</v>
      </c>
      <c r="F934" t="n">
        <v>3499</v>
      </c>
      <c r="G934" t="n">
        <v>3856</v>
      </c>
      <c r="H934" s="23" t="n">
        <v>300914</v>
      </c>
      <c r="I934" s="23" t="n">
        <v>331616</v>
      </c>
      <c r="J934" t="inlineStr">
        <is>
          <t>Sep</t>
        </is>
      </c>
      <c r="K934" t="n">
        <v>9</v>
      </c>
      <c r="L934" t="inlineStr">
        <is>
          <t>Q3</t>
        </is>
      </c>
      <c r="M934" t="n">
        <v>2024</v>
      </c>
      <c r="N934" s="22" t="n">
        <v>45536</v>
      </c>
      <c r="O934" s="24" t="n">
        <v>0.9074170124481328</v>
      </c>
      <c r="P934" s="23" t="n">
        <v>-30702</v>
      </c>
    </row>
    <row r="935">
      <c r="A935" t="inlineStr">
        <is>
          <t>Cataflam 50 MG</t>
        </is>
      </c>
      <c r="B935" t="inlineStr">
        <is>
          <t>Cairo 2</t>
        </is>
      </c>
      <c r="C935" s="22" t="n">
        <v>45566</v>
      </c>
      <c r="D935" t="inlineStr">
        <is>
          <t>Hassan El-Shamy</t>
        </is>
      </c>
      <c r="E935" t="n">
        <v>86</v>
      </c>
      <c r="F935" t="n">
        <v>1970</v>
      </c>
      <c r="G935" t="n">
        <v>2072</v>
      </c>
      <c r="H935" s="23" t="n">
        <v>169420</v>
      </c>
      <c r="I935" s="23" t="n">
        <v>178192</v>
      </c>
      <c r="J935" t="inlineStr">
        <is>
          <t>Oct</t>
        </is>
      </c>
      <c r="K935" t="n">
        <v>10</v>
      </c>
      <c r="L935" t="inlineStr">
        <is>
          <t>Q4</t>
        </is>
      </c>
      <c r="M935" t="n">
        <v>2024</v>
      </c>
      <c r="N935" s="22" t="n">
        <v>45566</v>
      </c>
      <c r="O935" s="24" t="n">
        <v>0.9507722007722008</v>
      </c>
      <c r="P935" s="23" t="n">
        <v>-8772</v>
      </c>
    </row>
    <row r="936">
      <c r="A936" t="inlineStr">
        <is>
          <t>Cataflam 50 MG</t>
        </is>
      </c>
      <c r="B936" t="inlineStr">
        <is>
          <t>Cairo 2</t>
        </is>
      </c>
      <c r="C936" s="22" t="n">
        <v>45597</v>
      </c>
      <c r="D936" t="inlineStr">
        <is>
          <t>Hassan El-Shamy</t>
        </is>
      </c>
      <c r="E936" t="n">
        <v>86</v>
      </c>
      <c r="F936" t="n">
        <v>3200</v>
      </c>
      <c r="G936" t="n">
        <v>3125</v>
      </c>
      <c r="H936" s="23" t="n">
        <v>275200</v>
      </c>
      <c r="I936" s="23" t="n">
        <v>268750</v>
      </c>
      <c r="J936" t="inlineStr">
        <is>
          <t>Nov</t>
        </is>
      </c>
      <c r="K936" t="n">
        <v>11</v>
      </c>
      <c r="L936" t="inlineStr">
        <is>
          <t>Q4</t>
        </is>
      </c>
      <c r="M936" t="n">
        <v>2024</v>
      </c>
      <c r="N936" s="22" t="n">
        <v>45597</v>
      </c>
      <c r="O936" s="24" t="n">
        <v>1.024</v>
      </c>
      <c r="P936" s="23" t="n">
        <v>6450</v>
      </c>
    </row>
    <row r="937">
      <c r="A937" t="inlineStr">
        <is>
          <t>Cataflam 50 MG</t>
        </is>
      </c>
      <c r="B937" t="inlineStr">
        <is>
          <t>Cairo 2</t>
        </is>
      </c>
      <c r="C937" s="22" t="n">
        <v>45627</v>
      </c>
      <c r="D937" t="inlineStr">
        <is>
          <t>Hassan El-Shamy</t>
        </is>
      </c>
      <c r="E937" t="n">
        <v>86</v>
      </c>
      <c r="F937" t="n">
        <v>2193</v>
      </c>
      <c r="G937" t="n">
        <v>2394</v>
      </c>
      <c r="H937" s="23" t="n">
        <v>188598</v>
      </c>
      <c r="I937" s="23" t="n">
        <v>205884</v>
      </c>
      <c r="J937" t="inlineStr">
        <is>
          <t>Dec</t>
        </is>
      </c>
      <c r="K937" t="n">
        <v>12</v>
      </c>
      <c r="L937" t="inlineStr">
        <is>
          <t>Q4</t>
        </is>
      </c>
      <c r="M937" t="n">
        <v>2024</v>
      </c>
      <c r="N937" s="22" t="n">
        <v>45627</v>
      </c>
      <c r="O937" s="24" t="n">
        <v>0.9160401002506265</v>
      </c>
      <c r="P937" s="23" t="n">
        <v>-17286</v>
      </c>
    </row>
    <row r="938">
      <c r="A938" t="inlineStr">
        <is>
          <t>Cataflam 50 MG</t>
        </is>
      </c>
      <c r="B938" t="inlineStr">
        <is>
          <t>Suez</t>
        </is>
      </c>
      <c r="C938" s="22" t="n">
        <v>45292</v>
      </c>
      <c r="D938" t="inlineStr">
        <is>
          <t>Mohamed Mahmoud</t>
        </is>
      </c>
      <c r="E938" t="n">
        <v>86</v>
      </c>
      <c r="F938" t="n">
        <v>2849</v>
      </c>
      <c r="G938" t="n">
        <v>3166</v>
      </c>
      <c r="H938" s="23" t="n">
        <v>245014</v>
      </c>
      <c r="I938" s="23" t="n">
        <v>272276</v>
      </c>
      <c r="J938" t="inlineStr">
        <is>
          <t>Jan</t>
        </is>
      </c>
      <c r="K938" t="n">
        <v>1</v>
      </c>
      <c r="L938" t="inlineStr">
        <is>
          <t>Q1</t>
        </is>
      </c>
      <c r="M938" t="n">
        <v>2024</v>
      </c>
      <c r="N938" s="22" t="n">
        <v>45292</v>
      </c>
      <c r="O938" s="24" t="n">
        <v>0.8998736576121289</v>
      </c>
      <c r="P938" s="23" t="n">
        <v>-27262</v>
      </c>
    </row>
    <row r="939">
      <c r="A939" t="inlineStr">
        <is>
          <t>Cataflam 50 MG</t>
        </is>
      </c>
      <c r="B939" t="inlineStr">
        <is>
          <t>Suez</t>
        </is>
      </c>
      <c r="C939" s="22" t="n">
        <v>45323</v>
      </c>
      <c r="D939" t="inlineStr">
        <is>
          <t>Mohamed Mahmoud</t>
        </is>
      </c>
      <c r="E939" t="n">
        <v>86</v>
      </c>
      <c r="F939" t="n">
        <v>2359</v>
      </c>
      <c r="G939" t="n">
        <v>2529</v>
      </c>
      <c r="H939" s="23" t="n">
        <v>202874</v>
      </c>
      <c r="I939" s="23" t="n">
        <v>217494</v>
      </c>
      <c r="J939" t="inlineStr">
        <is>
          <t>Feb</t>
        </is>
      </c>
      <c r="K939" t="n">
        <v>2</v>
      </c>
      <c r="L939" t="inlineStr">
        <is>
          <t>Q1</t>
        </is>
      </c>
      <c r="M939" t="n">
        <v>2024</v>
      </c>
      <c r="N939" s="22" t="n">
        <v>45323</v>
      </c>
      <c r="O939" s="24" t="n">
        <v>0.9327797548438118</v>
      </c>
      <c r="P939" s="23" t="n">
        <v>-14620</v>
      </c>
    </row>
    <row r="940">
      <c r="A940" t="inlineStr">
        <is>
          <t>Cataflam 50 MG</t>
        </is>
      </c>
      <c r="B940" t="inlineStr">
        <is>
          <t>Suez</t>
        </is>
      </c>
      <c r="C940" s="22" t="n">
        <v>45352</v>
      </c>
      <c r="D940" t="inlineStr">
        <is>
          <t>Mohamed Mahmoud</t>
        </is>
      </c>
      <c r="E940" t="n">
        <v>86</v>
      </c>
      <c r="F940" t="n">
        <v>2595</v>
      </c>
      <c r="G940" t="n">
        <v>2548</v>
      </c>
      <c r="H940" s="23" t="n">
        <v>223170</v>
      </c>
      <c r="I940" s="23" t="n">
        <v>219128</v>
      </c>
      <c r="J940" t="inlineStr">
        <is>
          <t>Mar</t>
        </is>
      </c>
      <c r="K940" t="n">
        <v>3</v>
      </c>
      <c r="L940" t="inlineStr">
        <is>
          <t>Q1</t>
        </is>
      </c>
      <c r="M940" t="n">
        <v>2024</v>
      </c>
      <c r="N940" s="22" t="n">
        <v>45352</v>
      </c>
      <c r="O940" s="24" t="n">
        <v>1.018445839874411</v>
      </c>
      <c r="P940" s="23" t="n">
        <v>4042</v>
      </c>
    </row>
    <row r="941">
      <c r="A941" t="inlineStr">
        <is>
          <t>Cataflam 50 MG</t>
        </is>
      </c>
      <c r="B941" t="inlineStr">
        <is>
          <t>Suez</t>
        </is>
      </c>
      <c r="C941" s="22" t="n">
        <v>45383</v>
      </c>
      <c r="D941" t="inlineStr">
        <is>
          <t>Mohamed Mahmoud</t>
        </is>
      </c>
      <c r="E941" t="n">
        <v>86</v>
      </c>
      <c r="F941" t="n">
        <v>2460</v>
      </c>
      <c r="G941" t="n">
        <v>2716</v>
      </c>
      <c r="H941" s="23" t="n">
        <v>211560</v>
      </c>
      <c r="I941" s="23" t="n">
        <v>233576</v>
      </c>
      <c r="J941" t="inlineStr">
        <is>
          <t>Apr</t>
        </is>
      </c>
      <c r="K941" t="n">
        <v>4</v>
      </c>
      <c r="L941" t="inlineStr">
        <is>
          <t>Q2</t>
        </is>
      </c>
      <c r="M941" t="n">
        <v>2024</v>
      </c>
      <c r="N941" s="22" t="n">
        <v>45383</v>
      </c>
      <c r="O941" s="24" t="n">
        <v>0.9057437407952872</v>
      </c>
      <c r="P941" s="23" t="n">
        <v>-22016</v>
      </c>
    </row>
    <row r="942">
      <c r="A942" t="inlineStr">
        <is>
          <t>Cataflam 50 MG</t>
        </is>
      </c>
      <c r="B942" t="inlineStr">
        <is>
          <t>Suez</t>
        </is>
      </c>
      <c r="C942" s="22" t="n">
        <v>45413</v>
      </c>
      <c r="D942" t="inlineStr">
        <is>
          <t>Mohamed Mahmoud</t>
        </is>
      </c>
      <c r="E942" t="n">
        <v>86</v>
      </c>
      <c r="F942" t="n">
        <v>3080</v>
      </c>
      <c r="G942" t="n">
        <v>3462</v>
      </c>
      <c r="H942" s="23" t="n">
        <v>264880</v>
      </c>
      <c r="I942" s="23" t="n">
        <v>297732</v>
      </c>
      <c r="J942" t="inlineStr">
        <is>
          <t>May</t>
        </is>
      </c>
      <c r="K942" t="n">
        <v>5</v>
      </c>
      <c r="L942" t="inlineStr">
        <is>
          <t>Q2</t>
        </is>
      </c>
      <c r="M942" t="n">
        <v>2024</v>
      </c>
      <c r="N942" s="22" t="n">
        <v>45413</v>
      </c>
      <c r="O942" s="24" t="n">
        <v>0.8896591565569035</v>
      </c>
      <c r="P942" s="23" t="n">
        <v>-32852</v>
      </c>
    </row>
    <row r="943">
      <c r="A943" t="inlineStr">
        <is>
          <t>Cataflam 50 MG</t>
        </is>
      </c>
      <c r="B943" t="inlineStr">
        <is>
          <t>Suez</t>
        </is>
      </c>
      <c r="C943" s="22" t="n">
        <v>45444</v>
      </c>
      <c r="D943" t="inlineStr">
        <is>
          <t>Mohamed Mahmoud</t>
        </is>
      </c>
      <c r="E943" t="n">
        <v>86</v>
      </c>
      <c r="F943" t="n">
        <v>3311</v>
      </c>
      <c r="G943" t="n">
        <v>3710</v>
      </c>
      <c r="H943" s="23" t="n">
        <v>284746</v>
      </c>
      <c r="I943" s="23" t="n">
        <v>319060</v>
      </c>
      <c r="J943" t="inlineStr">
        <is>
          <t>Jun</t>
        </is>
      </c>
      <c r="K943" t="n">
        <v>6</v>
      </c>
      <c r="L943" t="inlineStr">
        <is>
          <t>Q2</t>
        </is>
      </c>
      <c r="M943" t="n">
        <v>2024</v>
      </c>
      <c r="N943" s="22" t="n">
        <v>45444</v>
      </c>
      <c r="O943" s="24" t="n">
        <v>0.8924528301886793</v>
      </c>
      <c r="P943" s="23" t="n">
        <v>-34314</v>
      </c>
    </row>
    <row r="944">
      <c r="A944" t="inlineStr">
        <is>
          <t>Cataflam 50 MG</t>
        </is>
      </c>
      <c r="B944" t="inlineStr">
        <is>
          <t>Suez</t>
        </is>
      </c>
      <c r="C944" s="22" t="n">
        <v>45474</v>
      </c>
      <c r="D944" t="inlineStr">
        <is>
          <t>Mohamed Mahmoud</t>
        </is>
      </c>
      <c r="E944" t="n">
        <v>86</v>
      </c>
      <c r="F944" t="n">
        <v>2516</v>
      </c>
      <c r="G944" t="n">
        <v>2414</v>
      </c>
      <c r="H944" s="23" t="n">
        <v>216376</v>
      </c>
      <c r="I944" s="23" t="n">
        <v>207604</v>
      </c>
      <c r="J944" t="inlineStr">
        <is>
          <t>Jul</t>
        </is>
      </c>
      <c r="K944" t="n">
        <v>7</v>
      </c>
      <c r="L944" t="inlineStr">
        <is>
          <t>Q3</t>
        </is>
      </c>
      <c r="M944" t="n">
        <v>2024</v>
      </c>
      <c r="N944" s="22" t="n">
        <v>45474</v>
      </c>
      <c r="O944" s="24" t="n">
        <v>1.042253521126761</v>
      </c>
      <c r="P944" s="23" t="n">
        <v>8772</v>
      </c>
    </row>
    <row r="945">
      <c r="A945" t="inlineStr">
        <is>
          <t>Cataflam 50 MG</t>
        </is>
      </c>
      <c r="B945" t="inlineStr">
        <is>
          <t>Suez</t>
        </is>
      </c>
      <c r="C945" s="22" t="n">
        <v>45505</v>
      </c>
      <c r="D945" t="inlineStr">
        <is>
          <t>Mohamed Mahmoud</t>
        </is>
      </c>
      <c r="E945" t="n">
        <v>86</v>
      </c>
      <c r="F945" t="n">
        <v>3303</v>
      </c>
      <c r="G945" t="n">
        <v>3471</v>
      </c>
      <c r="H945" s="23" t="n">
        <v>284058</v>
      </c>
      <c r="I945" s="23" t="n">
        <v>298506</v>
      </c>
      <c r="J945" t="inlineStr">
        <is>
          <t>Aug</t>
        </is>
      </c>
      <c r="K945" t="n">
        <v>8</v>
      </c>
      <c r="L945" t="inlineStr">
        <is>
          <t>Q3</t>
        </is>
      </c>
      <c r="M945" t="n">
        <v>2024</v>
      </c>
      <c r="N945" s="22" t="n">
        <v>45505</v>
      </c>
      <c r="O945" s="24" t="n">
        <v>0.9515989628349178</v>
      </c>
      <c r="P945" s="23" t="n">
        <v>-14448</v>
      </c>
    </row>
    <row r="946">
      <c r="A946" t="inlineStr">
        <is>
          <t>Cataflam 50 MG</t>
        </is>
      </c>
      <c r="B946" t="inlineStr">
        <is>
          <t>Suez</t>
        </is>
      </c>
      <c r="C946" s="22" t="n">
        <v>45536</v>
      </c>
      <c r="D946" t="inlineStr">
        <is>
          <t>Mohamed Mahmoud</t>
        </is>
      </c>
      <c r="E946" t="n">
        <v>86</v>
      </c>
      <c r="F946" t="n">
        <v>3246</v>
      </c>
      <c r="G946" t="n">
        <v>3635</v>
      </c>
      <c r="H946" s="23" t="n">
        <v>279156</v>
      </c>
      <c r="I946" s="23" t="n">
        <v>312610</v>
      </c>
      <c r="J946" t="inlineStr">
        <is>
          <t>Sep</t>
        </is>
      </c>
      <c r="K946" t="n">
        <v>9</v>
      </c>
      <c r="L946" t="inlineStr">
        <is>
          <t>Q3</t>
        </is>
      </c>
      <c r="M946" t="n">
        <v>2024</v>
      </c>
      <c r="N946" s="22" t="n">
        <v>45536</v>
      </c>
      <c r="O946" s="24" t="n">
        <v>0.8929848693259973</v>
      </c>
      <c r="P946" s="23" t="n">
        <v>-33454</v>
      </c>
    </row>
    <row r="947">
      <c r="A947" t="inlineStr">
        <is>
          <t>Cataflam 50 MG</t>
        </is>
      </c>
      <c r="B947" t="inlineStr">
        <is>
          <t>Suez</t>
        </is>
      </c>
      <c r="C947" s="22" t="n">
        <v>45566</v>
      </c>
      <c r="D947" t="inlineStr">
        <is>
          <t>Mohamed Mahmoud</t>
        </is>
      </c>
      <c r="E947" t="n">
        <v>86</v>
      </c>
      <c r="F947" t="n">
        <v>2898</v>
      </c>
      <c r="G947" t="n">
        <v>3151</v>
      </c>
      <c r="H947" s="23" t="n">
        <v>249228</v>
      </c>
      <c r="I947" s="23" t="n">
        <v>270986</v>
      </c>
      <c r="J947" t="inlineStr">
        <is>
          <t>Oct</t>
        </is>
      </c>
      <c r="K947" t="n">
        <v>10</v>
      </c>
      <c r="L947" t="inlineStr">
        <is>
          <t>Q4</t>
        </is>
      </c>
      <c r="M947" t="n">
        <v>2024</v>
      </c>
      <c r="N947" s="22" t="n">
        <v>45566</v>
      </c>
      <c r="O947" s="24" t="n">
        <v>0.9197080291970803</v>
      </c>
      <c r="P947" s="23" t="n">
        <v>-21758</v>
      </c>
    </row>
    <row r="948">
      <c r="A948" t="inlineStr">
        <is>
          <t>Cataflam 50 MG</t>
        </is>
      </c>
      <c r="B948" t="inlineStr">
        <is>
          <t>Suez</t>
        </is>
      </c>
      <c r="C948" s="22" t="n">
        <v>45597</v>
      </c>
      <c r="D948" t="inlineStr">
        <is>
          <t>Mohamed Mahmoud</t>
        </is>
      </c>
      <c r="E948" t="n">
        <v>86</v>
      </c>
      <c r="F948" t="n">
        <v>2441</v>
      </c>
      <c r="G948" t="n">
        <v>2791</v>
      </c>
      <c r="H948" s="23" t="n">
        <v>209926</v>
      </c>
      <c r="I948" s="23" t="n">
        <v>240026</v>
      </c>
      <c r="J948" t="inlineStr">
        <is>
          <t>Nov</t>
        </is>
      </c>
      <c r="K948" t="n">
        <v>11</v>
      </c>
      <c r="L948" t="inlineStr">
        <is>
          <t>Q4</t>
        </is>
      </c>
      <c r="M948" t="n">
        <v>2024</v>
      </c>
      <c r="N948" s="22" t="n">
        <v>45597</v>
      </c>
      <c r="O948" s="24" t="n">
        <v>0.8745969186671444</v>
      </c>
      <c r="P948" s="23" t="n">
        <v>-30100</v>
      </c>
    </row>
    <row r="949">
      <c r="A949" t="inlineStr">
        <is>
          <t>Cataflam 50 MG</t>
        </is>
      </c>
      <c r="B949" t="inlineStr">
        <is>
          <t>Suez</t>
        </is>
      </c>
      <c r="C949" s="22" t="n">
        <v>45627</v>
      </c>
      <c r="D949" t="inlineStr">
        <is>
          <t>Mohamed Mahmoud</t>
        </is>
      </c>
      <c r="E949" t="n">
        <v>86</v>
      </c>
      <c r="F949" t="n">
        <v>2530</v>
      </c>
      <c r="G949" t="n">
        <v>2657</v>
      </c>
      <c r="H949" s="23" t="n">
        <v>217580</v>
      </c>
      <c r="I949" s="23" t="n">
        <v>228502</v>
      </c>
      <c r="J949" t="inlineStr">
        <is>
          <t>Dec</t>
        </is>
      </c>
      <c r="K949" t="n">
        <v>12</v>
      </c>
      <c r="L949" t="inlineStr">
        <is>
          <t>Q4</t>
        </is>
      </c>
      <c r="M949" t="n">
        <v>2024</v>
      </c>
      <c r="N949" s="22" t="n">
        <v>45627</v>
      </c>
      <c r="O949" s="24" t="n">
        <v>0.952201731275875</v>
      </c>
      <c r="P949" s="23" t="n">
        <v>-10922</v>
      </c>
    </row>
    <row r="950">
      <c r="A950" t="inlineStr">
        <is>
          <t>Cataflam 50 MG</t>
        </is>
      </c>
      <c r="B950" t="inlineStr">
        <is>
          <t>Dakahlia 1</t>
        </is>
      </c>
      <c r="C950" s="22" t="n">
        <v>45292</v>
      </c>
      <c r="D950" t="inlineStr">
        <is>
          <t>Nour El-Din</t>
        </is>
      </c>
      <c r="E950" t="n">
        <v>86</v>
      </c>
      <c r="F950" t="n">
        <v>2347</v>
      </c>
      <c r="G950" t="n">
        <v>2428</v>
      </c>
      <c r="H950" s="23" t="n">
        <v>201842</v>
      </c>
      <c r="I950" s="23" t="n">
        <v>208808</v>
      </c>
      <c r="J950" t="inlineStr">
        <is>
          <t>Jan</t>
        </is>
      </c>
      <c r="K950" t="n">
        <v>1</v>
      </c>
      <c r="L950" t="inlineStr">
        <is>
          <t>Q1</t>
        </is>
      </c>
      <c r="M950" t="n">
        <v>2024</v>
      </c>
      <c r="N950" s="22" t="n">
        <v>45292</v>
      </c>
      <c r="O950" s="24" t="n">
        <v>0.9666392092257001</v>
      </c>
      <c r="P950" s="23" t="n">
        <v>-6966</v>
      </c>
    </row>
    <row r="951">
      <c r="A951" t="inlineStr">
        <is>
          <t>Cataflam 50 MG</t>
        </is>
      </c>
      <c r="B951" t="inlineStr">
        <is>
          <t>Dakahlia 1</t>
        </is>
      </c>
      <c r="C951" s="22" t="n">
        <v>45323</v>
      </c>
      <c r="D951" t="inlineStr">
        <is>
          <t>Nour El-Din</t>
        </is>
      </c>
      <c r="E951" t="n">
        <v>86</v>
      </c>
      <c r="F951" t="n">
        <v>2677</v>
      </c>
      <c r="G951" t="n">
        <v>2871</v>
      </c>
      <c r="H951" s="23" t="n">
        <v>230222</v>
      </c>
      <c r="I951" s="23" t="n">
        <v>246906</v>
      </c>
      <c r="J951" t="inlineStr">
        <is>
          <t>Feb</t>
        </is>
      </c>
      <c r="K951" t="n">
        <v>2</v>
      </c>
      <c r="L951" t="inlineStr">
        <is>
          <t>Q1</t>
        </is>
      </c>
      <c r="M951" t="n">
        <v>2024</v>
      </c>
      <c r="N951" s="22" t="n">
        <v>45323</v>
      </c>
      <c r="O951" s="24" t="n">
        <v>0.9324277255311738</v>
      </c>
      <c r="P951" s="23" t="n">
        <v>-16684</v>
      </c>
    </row>
    <row r="952">
      <c r="A952" t="inlineStr">
        <is>
          <t>Cataflam 50 MG</t>
        </is>
      </c>
      <c r="B952" t="inlineStr">
        <is>
          <t>Dakahlia 1</t>
        </is>
      </c>
      <c r="C952" s="22" t="n">
        <v>45352</v>
      </c>
      <c r="D952" t="inlineStr">
        <is>
          <t>Nour El-Din</t>
        </is>
      </c>
      <c r="E952" t="n">
        <v>86</v>
      </c>
      <c r="F952" t="n">
        <v>2598</v>
      </c>
      <c r="G952" t="n">
        <v>2380</v>
      </c>
      <c r="H952" s="23" t="n">
        <v>223428</v>
      </c>
      <c r="I952" s="23" t="n">
        <v>204680</v>
      </c>
      <c r="J952" t="inlineStr">
        <is>
          <t>Mar</t>
        </is>
      </c>
      <c r="K952" t="n">
        <v>3</v>
      </c>
      <c r="L952" t="inlineStr">
        <is>
          <t>Q1</t>
        </is>
      </c>
      <c r="M952" t="n">
        <v>2024</v>
      </c>
      <c r="N952" s="22" t="n">
        <v>45352</v>
      </c>
      <c r="O952" s="24" t="n">
        <v>1.091596638655462</v>
      </c>
      <c r="P952" s="23" t="n">
        <v>18748</v>
      </c>
    </row>
    <row r="953">
      <c r="A953" t="inlineStr">
        <is>
          <t>Cataflam 50 MG</t>
        </is>
      </c>
      <c r="B953" t="inlineStr">
        <is>
          <t>Dakahlia 1</t>
        </is>
      </c>
      <c r="C953" s="22" t="n">
        <v>45383</v>
      </c>
      <c r="D953" t="inlineStr">
        <is>
          <t>Nour El-Din</t>
        </is>
      </c>
      <c r="E953" t="n">
        <v>86</v>
      </c>
      <c r="F953" t="n">
        <v>1555</v>
      </c>
      <c r="G953" t="n">
        <v>3793</v>
      </c>
      <c r="H953" s="23" t="n">
        <v>133730</v>
      </c>
      <c r="I953" s="23" t="n">
        <v>326198</v>
      </c>
      <c r="J953" t="inlineStr">
        <is>
          <t>Apr</t>
        </is>
      </c>
      <c r="K953" t="n">
        <v>4</v>
      </c>
      <c r="L953" t="inlineStr">
        <is>
          <t>Q2</t>
        </is>
      </c>
      <c r="M953" t="n">
        <v>2024</v>
      </c>
      <c r="N953" s="22" t="n">
        <v>45383</v>
      </c>
      <c r="O953" s="24" t="n">
        <v>0.4099657263379911</v>
      </c>
      <c r="P953" s="23" t="n">
        <v>-192468</v>
      </c>
    </row>
    <row r="954">
      <c r="A954" t="inlineStr">
        <is>
          <t>Cataflam 50 MG</t>
        </is>
      </c>
      <c r="B954" t="inlineStr">
        <is>
          <t>Dakahlia 1</t>
        </is>
      </c>
      <c r="C954" s="22" t="n">
        <v>45413</v>
      </c>
      <c r="D954" t="inlineStr">
        <is>
          <t>Nour El-Din</t>
        </is>
      </c>
      <c r="E954" t="n">
        <v>86</v>
      </c>
      <c r="F954" t="n">
        <v>2763</v>
      </c>
      <c r="G954" t="n">
        <v>3187</v>
      </c>
      <c r="H954" s="23" t="n">
        <v>237618</v>
      </c>
      <c r="I954" s="23" t="n">
        <v>274082</v>
      </c>
      <c r="J954" t="inlineStr">
        <is>
          <t>May</t>
        </is>
      </c>
      <c r="K954" t="n">
        <v>5</v>
      </c>
      <c r="L954" t="inlineStr">
        <is>
          <t>Q2</t>
        </is>
      </c>
      <c r="M954" t="n">
        <v>2024</v>
      </c>
      <c r="N954" s="22" t="n">
        <v>45413</v>
      </c>
      <c r="O954" s="24" t="n">
        <v>0.8669595230624412</v>
      </c>
      <c r="P954" s="23" t="n">
        <v>-36464</v>
      </c>
    </row>
    <row r="955">
      <c r="A955" t="inlineStr">
        <is>
          <t>Cataflam 50 MG</t>
        </is>
      </c>
      <c r="B955" t="inlineStr">
        <is>
          <t>Dakahlia 1</t>
        </is>
      </c>
      <c r="C955" s="22" t="n">
        <v>45444</v>
      </c>
      <c r="D955" t="inlineStr">
        <is>
          <t>Nour El-Din</t>
        </is>
      </c>
      <c r="E955" t="n">
        <v>86</v>
      </c>
      <c r="F955" t="n">
        <v>2598</v>
      </c>
      <c r="G955" t="n">
        <v>2734</v>
      </c>
      <c r="H955" s="23" t="n">
        <v>223428</v>
      </c>
      <c r="I955" s="23" t="n">
        <v>235124</v>
      </c>
      <c r="J955" t="inlineStr">
        <is>
          <t>Jun</t>
        </is>
      </c>
      <c r="K955" t="n">
        <v>6</v>
      </c>
      <c r="L955" t="inlineStr">
        <is>
          <t>Q2</t>
        </is>
      </c>
      <c r="M955" t="n">
        <v>2024</v>
      </c>
      <c r="N955" s="22" t="n">
        <v>45444</v>
      </c>
      <c r="O955" s="24" t="n">
        <v>0.950256035113387</v>
      </c>
      <c r="P955" s="23" t="n">
        <v>-11696</v>
      </c>
    </row>
    <row r="956">
      <c r="A956" t="inlineStr">
        <is>
          <t>Cataflam 50 MG</t>
        </is>
      </c>
      <c r="B956" t="inlineStr">
        <is>
          <t>Dakahlia 1</t>
        </is>
      </c>
      <c r="C956" s="22" t="n">
        <v>45474</v>
      </c>
      <c r="D956" t="inlineStr">
        <is>
          <t>Nour El-Din</t>
        </is>
      </c>
      <c r="E956" t="n">
        <v>86</v>
      </c>
      <c r="F956" t="n">
        <v>3256</v>
      </c>
      <c r="G956" t="n">
        <v>3215</v>
      </c>
      <c r="H956" s="23" t="n">
        <v>280016</v>
      </c>
      <c r="I956" s="23" t="n">
        <v>276490</v>
      </c>
      <c r="J956" t="inlineStr">
        <is>
          <t>Jul</t>
        </is>
      </c>
      <c r="K956" t="n">
        <v>7</v>
      </c>
      <c r="L956" t="inlineStr">
        <is>
          <t>Q3</t>
        </is>
      </c>
      <c r="M956" t="n">
        <v>2024</v>
      </c>
      <c r="N956" s="22" t="n">
        <v>45474</v>
      </c>
      <c r="O956" s="24" t="n">
        <v>1.012752721617418</v>
      </c>
      <c r="P956" s="23" t="n">
        <v>3526</v>
      </c>
    </row>
    <row r="957">
      <c r="A957" t="inlineStr">
        <is>
          <t>Cataflam 50 MG</t>
        </is>
      </c>
      <c r="B957" t="inlineStr">
        <is>
          <t>Dakahlia 1</t>
        </is>
      </c>
      <c r="C957" s="22" t="n">
        <v>45505</v>
      </c>
      <c r="D957" t="inlineStr">
        <is>
          <t>Nour El-Din</t>
        </is>
      </c>
      <c r="E957" t="n">
        <v>86</v>
      </c>
      <c r="F957" t="n">
        <v>3124</v>
      </c>
      <c r="G957" t="n">
        <v>3635</v>
      </c>
      <c r="H957" s="23" t="n">
        <v>268664</v>
      </c>
      <c r="I957" s="23" t="n">
        <v>312610</v>
      </c>
      <c r="J957" t="inlineStr">
        <is>
          <t>Aug</t>
        </is>
      </c>
      <c r="K957" t="n">
        <v>8</v>
      </c>
      <c r="L957" t="inlineStr">
        <is>
          <t>Q3</t>
        </is>
      </c>
      <c r="M957" t="n">
        <v>2024</v>
      </c>
      <c r="N957" s="22" t="n">
        <v>45505</v>
      </c>
      <c r="O957" s="24" t="n">
        <v>0.8594222833562586</v>
      </c>
      <c r="P957" s="23" t="n">
        <v>-43946</v>
      </c>
    </row>
    <row r="958">
      <c r="A958" t="inlineStr">
        <is>
          <t>Cataflam 50 MG</t>
        </is>
      </c>
      <c r="B958" t="inlineStr">
        <is>
          <t>Dakahlia 1</t>
        </is>
      </c>
      <c r="C958" s="22" t="n">
        <v>45536</v>
      </c>
      <c r="D958" t="inlineStr">
        <is>
          <t>Nour El-Din</t>
        </is>
      </c>
      <c r="E958" t="n">
        <v>86</v>
      </c>
      <c r="F958" t="n">
        <v>2500</v>
      </c>
      <c r="G958" t="n">
        <v>2547</v>
      </c>
      <c r="H958" s="23" t="n">
        <v>215000</v>
      </c>
      <c r="I958" s="23" t="n">
        <v>219042</v>
      </c>
      <c r="J958" t="inlineStr">
        <is>
          <t>Sep</t>
        </is>
      </c>
      <c r="K958" t="n">
        <v>9</v>
      </c>
      <c r="L958" t="inlineStr">
        <is>
          <t>Q3</t>
        </is>
      </c>
      <c r="M958" t="n">
        <v>2024</v>
      </c>
      <c r="N958" s="22" t="n">
        <v>45536</v>
      </c>
      <c r="O958" s="24" t="n">
        <v>0.9815469179426777</v>
      </c>
      <c r="P958" s="23" t="n">
        <v>-4042</v>
      </c>
    </row>
    <row r="959">
      <c r="A959" t="inlineStr">
        <is>
          <t>Cataflam 50 MG</t>
        </is>
      </c>
      <c r="B959" t="inlineStr">
        <is>
          <t>Dakahlia 1</t>
        </is>
      </c>
      <c r="C959" s="22" t="n">
        <v>45566</v>
      </c>
      <c r="D959" t="inlineStr">
        <is>
          <t>Nour El-Din</t>
        </is>
      </c>
      <c r="E959" t="n">
        <v>86</v>
      </c>
      <c r="F959" t="n">
        <v>2146</v>
      </c>
      <c r="G959" t="n">
        <v>2077</v>
      </c>
      <c r="H959" s="23" t="n">
        <v>184556</v>
      </c>
      <c r="I959" s="23" t="n">
        <v>178622</v>
      </c>
      <c r="J959" t="inlineStr">
        <is>
          <t>Oct</t>
        </is>
      </c>
      <c r="K959" t="n">
        <v>10</v>
      </c>
      <c r="L959" t="inlineStr">
        <is>
          <t>Q4</t>
        </is>
      </c>
      <c r="M959" t="n">
        <v>2024</v>
      </c>
      <c r="N959" s="22" t="n">
        <v>45566</v>
      </c>
      <c r="O959" s="24" t="n">
        <v>1.033220991815118</v>
      </c>
      <c r="P959" s="23" t="n">
        <v>5934</v>
      </c>
    </row>
    <row r="960">
      <c r="A960" t="inlineStr">
        <is>
          <t>Cataflam 50 MG</t>
        </is>
      </c>
      <c r="B960" t="inlineStr">
        <is>
          <t>Dakahlia 1</t>
        </is>
      </c>
      <c r="C960" s="22" t="n">
        <v>45597</v>
      </c>
      <c r="D960" t="inlineStr">
        <is>
          <t>Nour El-Din</t>
        </is>
      </c>
      <c r="E960" t="n">
        <v>86</v>
      </c>
      <c r="F960" t="n">
        <v>2560</v>
      </c>
      <c r="G960" t="n">
        <v>2707</v>
      </c>
      <c r="H960" s="23" t="n">
        <v>220160</v>
      </c>
      <c r="I960" s="23" t="n">
        <v>232802</v>
      </c>
      <c r="J960" t="inlineStr">
        <is>
          <t>Nov</t>
        </is>
      </c>
      <c r="K960" t="n">
        <v>11</v>
      </c>
      <c r="L960" t="inlineStr">
        <is>
          <t>Q4</t>
        </is>
      </c>
      <c r="M960" t="n">
        <v>2024</v>
      </c>
      <c r="N960" s="22" t="n">
        <v>45597</v>
      </c>
      <c r="O960" s="24" t="n">
        <v>0.9456963428149243</v>
      </c>
      <c r="P960" s="23" t="n">
        <v>-12642</v>
      </c>
    </row>
    <row r="961">
      <c r="A961" t="inlineStr">
        <is>
          <t>Cataflam 50 MG</t>
        </is>
      </c>
      <c r="B961" t="inlineStr">
        <is>
          <t>Dakahlia 1</t>
        </is>
      </c>
      <c r="C961" s="22" t="n">
        <v>45627</v>
      </c>
      <c r="D961" t="inlineStr">
        <is>
          <t>Nour El-Din</t>
        </is>
      </c>
      <c r="E961" t="n">
        <v>86</v>
      </c>
      <c r="F961" t="n">
        <v>2261</v>
      </c>
      <c r="G961" t="n">
        <v>2164</v>
      </c>
      <c r="H961" s="23" t="n">
        <v>194446</v>
      </c>
      <c r="I961" s="23" t="n">
        <v>186104</v>
      </c>
      <c r="J961" t="inlineStr">
        <is>
          <t>Dec</t>
        </is>
      </c>
      <c r="K961" t="n">
        <v>12</v>
      </c>
      <c r="L961" t="inlineStr">
        <is>
          <t>Q4</t>
        </is>
      </c>
      <c r="M961" t="n">
        <v>2024</v>
      </c>
      <c r="N961" s="22" t="n">
        <v>45627</v>
      </c>
      <c r="O961" s="24" t="n">
        <v>1.044824399260629</v>
      </c>
      <c r="P961" s="23" t="n">
        <v>8342</v>
      </c>
    </row>
    <row r="962">
      <c r="A962" t="inlineStr">
        <is>
          <t>Cataflam 50 MG</t>
        </is>
      </c>
      <c r="B962" t="inlineStr">
        <is>
          <t>Dakahlia 2</t>
        </is>
      </c>
      <c r="C962" s="22" t="n">
        <v>45292</v>
      </c>
      <c r="D962" t="inlineStr">
        <is>
          <t>Omar Khaled</t>
        </is>
      </c>
      <c r="E962" t="n">
        <v>86</v>
      </c>
      <c r="F962" t="n">
        <v>1891</v>
      </c>
      <c r="G962" t="n">
        <v>2206</v>
      </c>
      <c r="H962" s="23" t="n">
        <v>162626</v>
      </c>
      <c r="I962" s="23" t="n">
        <v>189716</v>
      </c>
      <c r="J962" t="inlineStr">
        <is>
          <t>Jan</t>
        </is>
      </c>
      <c r="K962" t="n">
        <v>1</v>
      </c>
      <c r="L962" t="inlineStr">
        <is>
          <t>Q1</t>
        </is>
      </c>
      <c r="M962" t="n">
        <v>2024</v>
      </c>
      <c r="N962" s="22" t="n">
        <v>45292</v>
      </c>
      <c r="O962" s="24" t="n">
        <v>0.857207615593835</v>
      </c>
      <c r="P962" s="23" t="n">
        <v>-27090</v>
      </c>
    </row>
    <row r="963">
      <c r="A963" t="inlineStr">
        <is>
          <t>Cataflam 50 MG</t>
        </is>
      </c>
      <c r="B963" t="inlineStr">
        <is>
          <t>Dakahlia 2</t>
        </is>
      </c>
      <c r="C963" s="22" t="n">
        <v>45323</v>
      </c>
      <c r="D963" t="inlineStr">
        <is>
          <t>Omar Khaled</t>
        </is>
      </c>
      <c r="E963" t="n">
        <v>86</v>
      </c>
      <c r="F963" t="n">
        <v>3586</v>
      </c>
      <c r="G963" t="n">
        <v>3784</v>
      </c>
      <c r="H963" s="23" t="n">
        <v>308396</v>
      </c>
      <c r="I963" s="23" t="n">
        <v>325424</v>
      </c>
      <c r="J963" t="inlineStr">
        <is>
          <t>Feb</t>
        </is>
      </c>
      <c r="K963" t="n">
        <v>2</v>
      </c>
      <c r="L963" t="inlineStr">
        <is>
          <t>Q1</t>
        </is>
      </c>
      <c r="M963" t="n">
        <v>2024</v>
      </c>
      <c r="N963" s="22" t="n">
        <v>45323</v>
      </c>
      <c r="O963" s="24" t="n">
        <v>0.9476744186046512</v>
      </c>
      <c r="P963" s="23" t="n">
        <v>-17028</v>
      </c>
    </row>
    <row r="964">
      <c r="A964" t="inlineStr">
        <is>
          <t>Cataflam 50 MG</t>
        </is>
      </c>
      <c r="B964" t="inlineStr">
        <is>
          <t>Dakahlia 2</t>
        </is>
      </c>
      <c r="C964" s="22" t="n">
        <v>45352</v>
      </c>
      <c r="D964" t="inlineStr">
        <is>
          <t>Omar Khaled</t>
        </is>
      </c>
      <c r="E964" t="n">
        <v>86</v>
      </c>
      <c r="F964" t="n">
        <v>3447</v>
      </c>
      <c r="G964" t="n">
        <v>3216</v>
      </c>
      <c r="H964" s="23" t="n">
        <v>296442</v>
      </c>
      <c r="I964" s="23" t="n">
        <v>276576</v>
      </c>
      <c r="J964" t="inlineStr">
        <is>
          <t>Mar</t>
        </is>
      </c>
      <c r="K964" t="n">
        <v>3</v>
      </c>
      <c r="L964" t="inlineStr">
        <is>
          <t>Q1</t>
        </is>
      </c>
      <c r="M964" t="n">
        <v>2024</v>
      </c>
      <c r="N964" s="22" t="n">
        <v>45352</v>
      </c>
      <c r="O964" s="24" t="n">
        <v>1.071828358208955</v>
      </c>
      <c r="P964" s="23" t="n">
        <v>19866</v>
      </c>
    </row>
    <row r="965">
      <c r="A965" t="inlineStr">
        <is>
          <t>Cataflam 50 MG</t>
        </is>
      </c>
      <c r="B965" t="inlineStr">
        <is>
          <t>Dakahlia 2</t>
        </is>
      </c>
      <c r="C965" s="22" t="n">
        <v>45383</v>
      </c>
      <c r="D965" t="inlineStr">
        <is>
          <t>Omar Khaled</t>
        </is>
      </c>
      <c r="E965" t="n">
        <v>86</v>
      </c>
      <c r="F965" t="n">
        <v>3711</v>
      </c>
      <c r="G965" t="n">
        <v>3696</v>
      </c>
      <c r="H965" s="23" t="n">
        <v>319146</v>
      </c>
      <c r="I965" s="23" t="n">
        <v>317856</v>
      </c>
      <c r="J965" t="inlineStr">
        <is>
          <t>Apr</t>
        </is>
      </c>
      <c r="K965" t="n">
        <v>4</v>
      </c>
      <c r="L965" t="inlineStr">
        <is>
          <t>Q2</t>
        </is>
      </c>
      <c r="M965" t="n">
        <v>2024</v>
      </c>
      <c r="N965" s="22" t="n">
        <v>45383</v>
      </c>
      <c r="O965" s="24" t="n">
        <v>1.004058441558441</v>
      </c>
      <c r="P965" s="23" t="n">
        <v>1290</v>
      </c>
    </row>
    <row r="966">
      <c r="A966" t="inlineStr">
        <is>
          <t>Cataflam 50 MG</t>
        </is>
      </c>
      <c r="B966" t="inlineStr">
        <is>
          <t>Dakahlia 2</t>
        </is>
      </c>
      <c r="C966" s="22" t="n">
        <v>45413</v>
      </c>
      <c r="D966" t="inlineStr">
        <is>
          <t>Omar Khaled</t>
        </is>
      </c>
      <c r="E966" t="n">
        <v>86</v>
      </c>
      <c r="F966" t="n">
        <v>3337</v>
      </c>
      <c r="G966" t="n">
        <v>3261</v>
      </c>
      <c r="H966" s="23" t="n">
        <v>286982</v>
      </c>
      <c r="I966" s="23" t="n">
        <v>280446</v>
      </c>
      <c r="J966" t="inlineStr">
        <is>
          <t>May</t>
        </is>
      </c>
      <c r="K966" t="n">
        <v>5</v>
      </c>
      <c r="L966" t="inlineStr">
        <is>
          <t>Q2</t>
        </is>
      </c>
      <c r="M966" t="n">
        <v>2024</v>
      </c>
      <c r="N966" s="22" t="n">
        <v>45413</v>
      </c>
      <c r="O966" s="24" t="n">
        <v>1.023305734437289</v>
      </c>
      <c r="P966" s="23" t="n">
        <v>6536</v>
      </c>
    </row>
    <row r="967">
      <c r="A967" t="inlineStr">
        <is>
          <t>Cataflam 50 MG</t>
        </is>
      </c>
      <c r="B967" t="inlineStr">
        <is>
          <t>Dakahlia 2</t>
        </is>
      </c>
      <c r="C967" s="22" t="n">
        <v>45444</v>
      </c>
      <c r="D967" t="inlineStr">
        <is>
          <t>Omar Khaled</t>
        </is>
      </c>
      <c r="E967" t="n">
        <v>86</v>
      </c>
      <c r="F967" t="n">
        <v>2808</v>
      </c>
      <c r="G967" t="n">
        <v>2744</v>
      </c>
      <c r="H967" s="23" t="n">
        <v>241488</v>
      </c>
      <c r="I967" s="23" t="n">
        <v>235984</v>
      </c>
      <c r="J967" t="inlineStr">
        <is>
          <t>Jun</t>
        </is>
      </c>
      <c r="K967" t="n">
        <v>6</v>
      </c>
      <c r="L967" t="inlineStr">
        <is>
          <t>Q2</t>
        </is>
      </c>
      <c r="M967" t="n">
        <v>2024</v>
      </c>
      <c r="N967" s="22" t="n">
        <v>45444</v>
      </c>
      <c r="O967" s="24" t="n">
        <v>1.02332361516035</v>
      </c>
      <c r="P967" s="23" t="n">
        <v>5504</v>
      </c>
    </row>
    <row r="968">
      <c r="A968" t="inlineStr">
        <is>
          <t>Cataflam 50 MG</t>
        </is>
      </c>
      <c r="B968" t="inlineStr">
        <is>
          <t>Dakahlia 2</t>
        </is>
      </c>
      <c r="C968" s="22" t="n">
        <v>45474</v>
      </c>
      <c r="D968" t="inlineStr">
        <is>
          <t>Omar Khaled</t>
        </is>
      </c>
      <c r="E968" t="n">
        <v>86</v>
      </c>
      <c r="F968" t="n">
        <v>1977</v>
      </c>
      <c r="G968" t="n">
        <v>2274</v>
      </c>
      <c r="H968" s="23" t="n">
        <v>170022</v>
      </c>
      <c r="I968" s="23" t="n">
        <v>195564</v>
      </c>
      <c r="J968" t="inlineStr">
        <is>
          <t>Jul</t>
        </is>
      </c>
      <c r="K968" t="n">
        <v>7</v>
      </c>
      <c r="L968" t="inlineStr">
        <is>
          <t>Q3</t>
        </is>
      </c>
      <c r="M968" t="n">
        <v>2024</v>
      </c>
      <c r="N968" s="22" t="n">
        <v>45474</v>
      </c>
      <c r="O968" s="24" t="n">
        <v>0.8693931398416886</v>
      </c>
      <c r="P968" s="23" t="n">
        <v>-25542</v>
      </c>
    </row>
    <row r="969">
      <c r="A969" t="inlineStr">
        <is>
          <t>Cataflam 50 MG</t>
        </is>
      </c>
      <c r="B969" t="inlineStr">
        <is>
          <t>Dakahlia 2</t>
        </is>
      </c>
      <c r="C969" s="22" t="n">
        <v>45505</v>
      </c>
      <c r="D969" t="inlineStr">
        <is>
          <t>Omar Khaled</t>
        </is>
      </c>
      <c r="E969" t="n">
        <v>86</v>
      </c>
      <c r="F969" t="n">
        <v>2760</v>
      </c>
      <c r="G969" t="n">
        <v>2762</v>
      </c>
      <c r="H969" s="23" t="n">
        <v>237360</v>
      </c>
      <c r="I969" s="23" t="n">
        <v>237532</v>
      </c>
      <c r="J969" t="inlineStr">
        <is>
          <t>Aug</t>
        </is>
      </c>
      <c r="K969" t="n">
        <v>8</v>
      </c>
      <c r="L969" t="inlineStr">
        <is>
          <t>Q3</t>
        </is>
      </c>
      <c r="M969" t="n">
        <v>2024</v>
      </c>
      <c r="N969" s="22" t="n">
        <v>45505</v>
      </c>
      <c r="O969" s="24" t="n">
        <v>0.999275887038378</v>
      </c>
      <c r="P969" s="23" t="n">
        <v>-172</v>
      </c>
    </row>
    <row r="970">
      <c r="A970" t="inlineStr">
        <is>
          <t>Cataflam 50 MG</t>
        </is>
      </c>
      <c r="B970" t="inlineStr">
        <is>
          <t>Dakahlia 2</t>
        </is>
      </c>
      <c r="C970" s="22" t="n">
        <v>45536</v>
      </c>
      <c r="D970" t="inlineStr">
        <is>
          <t>Omar Khaled</t>
        </is>
      </c>
      <c r="E970" t="n">
        <v>86</v>
      </c>
      <c r="F970" t="n">
        <v>2578</v>
      </c>
      <c r="G970" t="n">
        <v>2779</v>
      </c>
      <c r="H970" s="23" t="n">
        <v>221708</v>
      </c>
      <c r="I970" s="23" t="n">
        <v>238994</v>
      </c>
      <c r="J970" t="inlineStr">
        <is>
          <t>Sep</t>
        </is>
      </c>
      <c r="K970" t="n">
        <v>9</v>
      </c>
      <c r="L970" t="inlineStr">
        <is>
          <t>Q3</t>
        </is>
      </c>
      <c r="M970" t="n">
        <v>2024</v>
      </c>
      <c r="N970" s="22" t="n">
        <v>45536</v>
      </c>
      <c r="O970" s="24" t="n">
        <v>0.9276718243972653</v>
      </c>
      <c r="P970" s="23" t="n">
        <v>-17286</v>
      </c>
    </row>
    <row r="971">
      <c r="A971" t="inlineStr">
        <is>
          <t>Cataflam 50 MG</t>
        </is>
      </c>
      <c r="B971" t="inlineStr">
        <is>
          <t>Dakahlia 2</t>
        </is>
      </c>
      <c r="C971" s="22" t="n">
        <v>45566</v>
      </c>
      <c r="D971" t="inlineStr">
        <is>
          <t>Omar Khaled</t>
        </is>
      </c>
      <c r="E971" t="n">
        <v>86</v>
      </c>
      <c r="F971" t="n">
        <v>3506</v>
      </c>
      <c r="G971" t="n">
        <v>3344</v>
      </c>
      <c r="H971" s="23" t="n">
        <v>301516</v>
      </c>
      <c r="I971" s="23" t="n">
        <v>287584</v>
      </c>
      <c r="J971" t="inlineStr">
        <is>
          <t>Oct</t>
        </is>
      </c>
      <c r="K971" t="n">
        <v>10</v>
      </c>
      <c r="L971" t="inlineStr">
        <is>
          <t>Q4</t>
        </is>
      </c>
      <c r="M971" t="n">
        <v>2024</v>
      </c>
      <c r="N971" s="22" t="n">
        <v>45566</v>
      </c>
      <c r="O971" s="24" t="n">
        <v>1.048444976076555</v>
      </c>
      <c r="P971" s="23" t="n">
        <v>13932</v>
      </c>
    </row>
    <row r="972">
      <c r="A972" t="inlineStr">
        <is>
          <t>Cataflam 50 MG</t>
        </is>
      </c>
      <c r="B972" t="inlineStr">
        <is>
          <t>Dakahlia 2</t>
        </is>
      </c>
      <c r="C972" s="22" t="n">
        <v>45597</v>
      </c>
      <c r="D972" t="inlineStr">
        <is>
          <t>Omar Khaled</t>
        </is>
      </c>
      <c r="E972" t="n">
        <v>86</v>
      </c>
      <c r="F972" t="n">
        <v>2510</v>
      </c>
      <c r="G972" t="n">
        <v>2427</v>
      </c>
      <c r="H972" s="23" t="n">
        <v>215860</v>
      </c>
      <c r="I972" s="23" t="n">
        <v>208722</v>
      </c>
      <c r="J972" t="inlineStr">
        <is>
          <t>Nov</t>
        </is>
      </c>
      <c r="K972" t="n">
        <v>11</v>
      </c>
      <c r="L972" t="inlineStr">
        <is>
          <t>Q4</t>
        </is>
      </c>
      <c r="M972" t="n">
        <v>2024</v>
      </c>
      <c r="N972" s="22" t="n">
        <v>45597</v>
      </c>
      <c r="O972" s="24" t="n">
        <v>1.034198599093531</v>
      </c>
      <c r="P972" s="23" t="n">
        <v>7138</v>
      </c>
    </row>
    <row r="973">
      <c r="A973" t="inlineStr">
        <is>
          <t>Cataflam 50 MG</t>
        </is>
      </c>
      <c r="B973" t="inlineStr">
        <is>
          <t>Dakahlia 2</t>
        </is>
      </c>
      <c r="C973" s="22" t="n">
        <v>45627</v>
      </c>
      <c r="D973" t="inlineStr">
        <is>
          <t>Omar Khaled</t>
        </is>
      </c>
      <c r="E973" t="n">
        <v>86</v>
      </c>
      <c r="F973" t="n">
        <v>3315</v>
      </c>
      <c r="G973" t="n">
        <v>3027</v>
      </c>
      <c r="H973" s="23" t="n">
        <v>285090</v>
      </c>
      <c r="I973" s="23" t="n">
        <v>260322</v>
      </c>
      <c r="J973" t="inlineStr">
        <is>
          <t>Dec</t>
        </is>
      </c>
      <c r="K973" t="n">
        <v>12</v>
      </c>
      <c r="L973" t="inlineStr">
        <is>
          <t>Q4</t>
        </is>
      </c>
      <c r="M973" t="n">
        <v>2024</v>
      </c>
      <c r="N973" s="22" t="n">
        <v>45627</v>
      </c>
      <c r="O973" s="24" t="n">
        <v>1.095143706640238</v>
      </c>
      <c r="P973" s="23" t="n">
        <v>24768</v>
      </c>
    </row>
    <row r="974">
      <c r="A974" t="inlineStr">
        <is>
          <t>Cataflam 50 MG</t>
        </is>
      </c>
      <c r="B974" t="inlineStr">
        <is>
          <t>Sharqia 1</t>
        </is>
      </c>
      <c r="C974" s="22" t="n">
        <v>45292</v>
      </c>
      <c r="D974" t="inlineStr">
        <is>
          <t>Sara Ibrahim</t>
        </is>
      </c>
      <c r="E974" t="n">
        <v>86</v>
      </c>
      <c r="F974" t="n">
        <v>2395</v>
      </c>
      <c r="G974" t="n">
        <v>2507</v>
      </c>
      <c r="H974" s="23" t="n">
        <v>205970</v>
      </c>
      <c r="I974" s="23" t="n">
        <v>215602</v>
      </c>
      <c r="J974" t="inlineStr">
        <is>
          <t>Jan</t>
        </is>
      </c>
      <c r="K974" t="n">
        <v>1</v>
      </c>
      <c r="L974" t="inlineStr">
        <is>
          <t>Q1</t>
        </is>
      </c>
      <c r="M974" t="n">
        <v>2024</v>
      </c>
      <c r="N974" s="22" t="n">
        <v>45292</v>
      </c>
      <c r="O974" s="24" t="n">
        <v>0.9553250897487037</v>
      </c>
      <c r="P974" s="23" t="n">
        <v>-9632</v>
      </c>
    </row>
    <row r="975">
      <c r="A975" t="inlineStr">
        <is>
          <t>Cataflam 50 MG</t>
        </is>
      </c>
      <c r="B975" t="inlineStr">
        <is>
          <t>Sharqia 1</t>
        </is>
      </c>
      <c r="C975" s="22" t="n">
        <v>45323</v>
      </c>
      <c r="D975" t="inlineStr">
        <is>
          <t>Sara Ibrahim</t>
        </is>
      </c>
      <c r="E975" t="n">
        <v>86</v>
      </c>
      <c r="F975" t="n">
        <v>2304</v>
      </c>
      <c r="G975" t="n">
        <v>2699</v>
      </c>
      <c r="H975" s="23" t="n">
        <v>198144</v>
      </c>
      <c r="I975" s="23" t="n">
        <v>232114</v>
      </c>
      <c r="J975" t="inlineStr">
        <is>
          <t>Feb</t>
        </is>
      </c>
      <c r="K975" t="n">
        <v>2</v>
      </c>
      <c r="L975" t="inlineStr">
        <is>
          <t>Q1</t>
        </is>
      </c>
      <c r="M975" t="n">
        <v>2024</v>
      </c>
      <c r="N975" s="22" t="n">
        <v>45323</v>
      </c>
      <c r="O975" s="24" t="n">
        <v>0.8536494998147462</v>
      </c>
      <c r="P975" s="23" t="n">
        <v>-33970</v>
      </c>
    </row>
    <row r="976">
      <c r="A976" t="inlineStr">
        <is>
          <t>Cataflam 50 MG</t>
        </is>
      </c>
      <c r="B976" t="inlineStr">
        <is>
          <t>Sharqia 1</t>
        </is>
      </c>
      <c r="C976" s="22" t="n">
        <v>45352</v>
      </c>
      <c r="D976" t="inlineStr">
        <is>
          <t>Sara Ibrahim</t>
        </is>
      </c>
      <c r="E976" t="n">
        <v>86</v>
      </c>
      <c r="F976" t="n">
        <v>3064</v>
      </c>
      <c r="G976" t="n">
        <v>3334</v>
      </c>
      <c r="H976" s="23" t="n">
        <v>263504</v>
      </c>
      <c r="I976" s="23" t="n">
        <v>286724</v>
      </c>
      <c r="J976" t="inlineStr">
        <is>
          <t>Mar</t>
        </is>
      </c>
      <c r="K976" t="n">
        <v>3</v>
      </c>
      <c r="L976" t="inlineStr">
        <is>
          <t>Q1</t>
        </is>
      </c>
      <c r="M976" t="n">
        <v>2024</v>
      </c>
      <c r="N976" s="22" t="n">
        <v>45352</v>
      </c>
      <c r="O976" s="24" t="n">
        <v>0.9190161967606478</v>
      </c>
      <c r="P976" s="23" t="n">
        <v>-23220</v>
      </c>
    </row>
    <row r="977">
      <c r="A977" t="inlineStr">
        <is>
          <t>Cataflam 50 MG</t>
        </is>
      </c>
      <c r="B977" t="inlineStr">
        <is>
          <t>Sharqia 1</t>
        </is>
      </c>
      <c r="C977" s="22" t="n">
        <v>45383</v>
      </c>
      <c r="D977" t="inlineStr">
        <is>
          <t>Sara Ibrahim</t>
        </is>
      </c>
      <c r="E977" t="n">
        <v>86</v>
      </c>
      <c r="F977" t="n">
        <v>3372</v>
      </c>
      <c r="G977" t="n">
        <v>3716</v>
      </c>
      <c r="H977" s="23" t="n">
        <v>289992</v>
      </c>
      <c r="I977" s="23" t="n">
        <v>319576</v>
      </c>
      <c r="J977" t="inlineStr">
        <is>
          <t>Apr</t>
        </is>
      </c>
      <c r="K977" t="n">
        <v>4</v>
      </c>
      <c r="L977" t="inlineStr">
        <is>
          <t>Q2</t>
        </is>
      </c>
      <c r="M977" t="n">
        <v>2024</v>
      </c>
      <c r="N977" s="22" t="n">
        <v>45383</v>
      </c>
      <c r="O977" s="24" t="n">
        <v>0.907427341227126</v>
      </c>
      <c r="P977" s="23" t="n">
        <v>-29584</v>
      </c>
    </row>
    <row r="978">
      <c r="A978" t="inlineStr">
        <is>
          <t>Cataflam 50 MG</t>
        </is>
      </c>
      <c r="B978" t="inlineStr">
        <is>
          <t>Sharqia 1</t>
        </is>
      </c>
      <c r="C978" s="22" t="n">
        <v>45413</v>
      </c>
      <c r="D978" t="inlineStr">
        <is>
          <t>Sara Ibrahim</t>
        </is>
      </c>
      <c r="E978" t="n">
        <v>86</v>
      </c>
      <c r="F978" t="n">
        <v>2833</v>
      </c>
      <c r="G978" t="n">
        <v>2994</v>
      </c>
      <c r="H978" s="23" t="n">
        <v>243638</v>
      </c>
      <c r="I978" s="23" t="n">
        <v>257484</v>
      </c>
      <c r="J978" t="inlineStr">
        <is>
          <t>May</t>
        </is>
      </c>
      <c r="K978" t="n">
        <v>5</v>
      </c>
      <c r="L978" t="inlineStr">
        <is>
          <t>Q2</t>
        </is>
      </c>
      <c r="M978" t="n">
        <v>2024</v>
      </c>
      <c r="N978" s="22" t="n">
        <v>45413</v>
      </c>
      <c r="O978" s="24" t="n">
        <v>0.9462257849031396</v>
      </c>
      <c r="P978" s="23" t="n">
        <v>-13846</v>
      </c>
    </row>
    <row r="979">
      <c r="A979" t="inlineStr">
        <is>
          <t>Cataflam 50 MG</t>
        </is>
      </c>
      <c r="B979" t="inlineStr">
        <is>
          <t>Sharqia 1</t>
        </is>
      </c>
      <c r="C979" s="22" t="n">
        <v>45444</v>
      </c>
      <c r="D979" t="inlineStr">
        <is>
          <t>Sara Ibrahim</t>
        </is>
      </c>
      <c r="E979" t="n">
        <v>86</v>
      </c>
      <c r="F979" t="n">
        <v>2992</v>
      </c>
      <c r="G979" t="n">
        <v>3017</v>
      </c>
      <c r="H979" s="23" t="n">
        <v>257312</v>
      </c>
      <c r="I979" s="23" t="n">
        <v>259462</v>
      </c>
      <c r="J979" t="inlineStr">
        <is>
          <t>Jun</t>
        </is>
      </c>
      <c r="K979" t="n">
        <v>6</v>
      </c>
      <c r="L979" t="inlineStr">
        <is>
          <t>Q2</t>
        </is>
      </c>
      <c r="M979" t="n">
        <v>2024</v>
      </c>
      <c r="N979" s="22" t="n">
        <v>45444</v>
      </c>
      <c r="O979" s="24" t="n">
        <v>0.99171362280411</v>
      </c>
      <c r="P979" s="23" t="n">
        <v>-2150</v>
      </c>
    </row>
    <row r="980">
      <c r="A980" t="inlineStr">
        <is>
          <t>Cataflam 50 MG</t>
        </is>
      </c>
      <c r="B980" t="inlineStr">
        <is>
          <t>Sharqia 1</t>
        </is>
      </c>
      <c r="C980" s="22" t="n">
        <v>45474</v>
      </c>
      <c r="D980" t="inlineStr">
        <is>
          <t>Sara Ibrahim</t>
        </is>
      </c>
      <c r="E980" t="n">
        <v>86</v>
      </c>
      <c r="F980" t="n">
        <v>2393</v>
      </c>
      <c r="G980" t="n">
        <v>2436</v>
      </c>
      <c r="H980" s="23" t="n">
        <v>205798</v>
      </c>
      <c r="I980" s="23" t="n">
        <v>209496</v>
      </c>
      <c r="J980" t="inlineStr">
        <is>
          <t>Jul</t>
        </is>
      </c>
      <c r="K980" t="n">
        <v>7</v>
      </c>
      <c r="L980" t="inlineStr">
        <is>
          <t>Q3</t>
        </is>
      </c>
      <c r="M980" t="n">
        <v>2024</v>
      </c>
      <c r="N980" s="22" t="n">
        <v>45474</v>
      </c>
      <c r="O980" s="24" t="n">
        <v>0.9823481116584565</v>
      </c>
      <c r="P980" s="23" t="n">
        <v>-3698</v>
      </c>
    </row>
    <row r="981">
      <c r="A981" t="inlineStr">
        <is>
          <t>Cataflam 50 MG</t>
        </is>
      </c>
      <c r="B981" t="inlineStr">
        <is>
          <t>Sharqia 1</t>
        </is>
      </c>
      <c r="C981" s="22" t="n">
        <v>45505</v>
      </c>
      <c r="D981" t="inlineStr">
        <is>
          <t>Sara Ibrahim</t>
        </is>
      </c>
      <c r="E981" t="n">
        <v>86</v>
      </c>
      <c r="F981" t="n">
        <v>2362</v>
      </c>
      <c r="G981" t="n">
        <v>2633</v>
      </c>
      <c r="H981" s="23" t="n">
        <v>203132</v>
      </c>
      <c r="I981" s="23" t="n">
        <v>226438</v>
      </c>
      <c r="J981" t="inlineStr">
        <is>
          <t>Aug</t>
        </is>
      </c>
      <c r="K981" t="n">
        <v>8</v>
      </c>
      <c r="L981" t="inlineStr">
        <is>
          <t>Q3</t>
        </is>
      </c>
      <c r="M981" t="n">
        <v>2024</v>
      </c>
      <c r="N981" s="22" t="n">
        <v>45505</v>
      </c>
      <c r="O981" s="24" t="n">
        <v>0.8970755791872389</v>
      </c>
      <c r="P981" s="23" t="n">
        <v>-23306</v>
      </c>
    </row>
    <row r="982">
      <c r="A982" t="inlineStr">
        <is>
          <t>Cataflam 50 MG</t>
        </is>
      </c>
      <c r="B982" t="inlineStr">
        <is>
          <t>Sharqia 1</t>
        </is>
      </c>
      <c r="C982" s="22" t="n">
        <v>45536</v>
      </c>
      <c r="D982" t="inlineStr">
        <is>
          <t>Sara Ibrahim</t>
        </is>
      </c>
      <c r="E982" t="n">
        <v>86</v>
      </c>
      <c r="F982" t="n">
        <v>2349</v>
      </c>
      <c r="G982" t="n">
        <v>2287</v>
      </c>
      <c r="H982" s="23" t="n">
        <v>202014</v>
      </c>
      <c r="I982" s="23" t="n">
        <v>196682</v>
      </c>
      <c r="J982" t="inlineStr">
        <is>
          <t>Sep</t>
        </is>
      </c>
      <c r="K982" t="n">
        <v>9</v>
      </c>
      <c r="L982" t="inlineStr">
        <is>
          <t>Q3</t>
        </is>
      </c>
      <c r="M982" t="n">
        <v>2024</v>
      </c>
      <c r="N982" s="22" t="n">
        <v>45536</v>
      </c>
      <c r="O982" s="24" t="n">
        <v>1.027109750765195</v>
      </c>
      <c r="P982" s="23" t="n">
        <v>5332</v>
      </c>
    </row>
    <row r="983">
      <c r="A983" t="inlineStr">
        <is>
          <t>Cataflam 50 MG</t>
        </is>
      </c>
      <c r="B983" t="inlineStr">
        <is>
          <t>Sharqia 1</t>
        </is>
      </c>
      <c r="C983" s="22" t="n">
        <v>45566</v>
      </c>
      <c r="D983" t="inlineStr">
        <is>
          <t>Sara Ibrahim</t>
        </is>
      </c>
      <c r="E983" t="n">
        <v>86</v>
      </c>
      <c r="F983" t="n">
        <v>2450</v>
      </c>
      <c r="G983" t="n">
        <v>3822</v>
      </c>
      <c r="H983" s="23" t="n">
        <v>210700</v>
      </c>
      <c r="I983" s="23" t="n">
        <v>328692</v>
      </c>
      <c r="J983" t="inlineStr">
        <is>
          <t>Oct</t>
        </is>
      </c>
      <c r="K983" t="n">
        <v>10</v>
      </c>
      <c r="L983" t="inlineStr">
        <is>
          <t>Q4</t>
        </is>
      </c>
      <c r="M983" t="n">
        <v>2024</v>
      </c>
      <c r="N983" s="22" t="n">
        <v>45566</v>
      </c>
      <c r="O983" s="24" t="n">
        <v>0.6410256410256411</v>
      </c>
      <c r="P983" s="23" t="n">
        <v>-117992</v>
      </c>
    </row>
    <row r="984">
      <c r="A984" t="inlineStr">
        <is>
          <t>Cataflam 50 MG</t>
        </is>
      </c>
      <c r="B984" t="inlineStr">
        <is>
          <t>Sharqia 1</t>
        </is>
      </c>
      <c r="C984" s="22" t="n">
        <v>45597</v>
      </c>
      <c r="D984" t="inlineStr">
        <is>
          <t>Sara Ibrahim</t>
        </is>
      </c>
      <c r="E984" t="n">
        <v>86</v>
      </c>
      <c r="F984" t="n">
        <v>1932</v>
      </c>
      <c r="G984" t="n">
        <v>2083</v>
      </c>
      <c r="H984" s="23" t="n">
        <v>166152</v>
      </c>
      <c r="I984" s="23" t="n">
        <v>179138</v>
      </c>
      <c r="J984" t="inlineStr">
        <is>
          <t>Nov</t>
        </is>
      </c>
      <c r="K984" t="n">
        <v>11</v>
      </c>
      <c r="L984" t="inlineStr">
        <is>
          <t>Q4</t>
        </is>
      </c>
      <c r="M984" t="n">
        <v>2024</v>
      </c>
      <c r="N984" s="22" t="n">
        <v>45597</v>
      </c>
      <c r="O984" s="24" t="n">
        <v>0.9275084013442151</v>
      </c>
      <c r="P984" s="23" t="n">
        <v>-12986</v>
      </c>
    </row>
    <row r="985">
      <c r="A985" t="inlineStr">
        <is>
          <t>Cataflam 50 MG</t>
        </is>
      </c>
      <c r="B985" t="inlineStr">
        <is>
          <t>Sharqia 1</t>
        </is>
      </c>
      <c r="C985" s="22" t="n">
        <v>45627</v>
      </c>
      <c r="D985" t="inlineStr">
        <is>
          <t>Sara Ibrahim</t>
        </is>
      </c>
      <c r="E985" t="n">
        <v>86</v>
      </c>
      <c r="F985" t="n">
        <v>3500</v>
      </c>
      <c r="G985" t="n">
        <v>3933</v>
      </c>
      <c r="H985" s="23" t="n">
        <v>301000</v>
      </c>
      <c r="I985" s="23" t="n">
        <v>338238</v>
      </c>
      <c r="J985" t="inlineStr">
        <is>
          <t>Dec</t>
        </is>
      </c>
      <c r="K985" t="n">
        <v>12</v>
      </c>
      <c r="L985" t="inlineStr">
        <is>
          <t>Q4</t>
        </is>
      </c>
      <c r="M985" t="n">
        <v>2024</v>
      </c>
      <c r="N985" s="22" t="n">
        <v>45627</v>
      </c>
      <c r="O985" s="24" t="n">
        <v>0.889905924230867</v>
      </c>
      <c r="P985" s="23" t="n">
        <v>-37238</v>
      </c>
    </row>
    <row r="986">
      <c r="A986" t="inlineStr">
        <is>
          <t>Cataflam 50 MG</t>
        </is>
      </c>
      <c r="B986" t="inlineStr">
        <is>
          <t>Sharqia 2</t>
        </is>
      </c>
      <c r="C986" s="22" t="n">
        <v>45292</v>
      </c>
      <c r="D986" t="inlineStr">
        <is>
          <t>Youssef Farouk</t>
        </is>
      </c>
      <c r="E986" t="n">
        <v>86</v>
      </c>
      <c r="F986" t="n">
        <v>2281</v>
      </c>
      <c r="G986" t="n">
        <v>2445</v>
      </c>
      <c r="H986" s="23" t="n">
        <v>196166</v>
      </c>
      <c r="I986" s="23" t="n">
        <v>210270</v>
      </c>
      <c r="J986" t="inlineStr">
        <is>
          <t>Jan</t>
        </is>
      </c>
      <c r="K986" t="n">
        <v>1</v>
      </c>
      <c r="L986" t="inlineStr">
        <is>
          <t>Q1</t>
        </is>
      </c>
      <c r="M986" t="n">
        <v>2024</v>
      </c>
      <c r="N986" s="22" t="n">
        <v>45292</v>
      </c>
      <c r="O986" s="24" t="n">
        <v>0.9329243353783231</v>
      </c>
      <c r="P986" s="23" t="n">
        <v>-14104</v>
      </c>
    </row>
    <row r="987">
      <c r="A987" t="inlineStr">
        <is>
          <t>Cataflam 50 MG</t>
        </is>
      </c>
      <c r="B987" t="inlineStr">
        <is>
          <t>Sharqia 2</t>
        </is>
      </c>
      <c r="C987" s="22" t="n">
        <v>45323</v>
      </c>
      <c r="D987" t="inlineStr">
        <is>
          <t>Youssef Farouk</t>
        </is>
      </c>
      <c r="E987" t="n">
        <v>86</v>
      </c>
      <c r="F987" t="n">
        <v>3403</v>
      </c>
      <c r="G987" t="n">
        <v>3161</v>
      </c>
      <c r="H987" s="23" t="n">
        <v>292658</v>
      </c>
      <c r="I987" s="23" t="n">
        <v>271846</v>
      </c>
      <c r="J987" t="inlineStr">
        <is>
          <t>Feb</t>
        </is>
      </c>
      <c r="K987" t="n">
        <v>2</v>
      </c>
      <c r="L987" t="inlineStr">
        <is>
          <t>Q1</t>
        </is>
      </c>
      <c r="M987" t="n">
        <v>2024</v>
      </c>
      <c r="N987" s="22" t="n">
        <v>45323</v>
      </c>
      <c r="O987" s="24" t="n">
        <v>1.076558051249604</v>
      </c>
      <c r="P987" s="23" t="n">
        <v>20812</v>
      </c>
    </row>
    <row r="988">
      <c r="A988" t="inlineStr">
        <is>
          <t>Cataflam 50 MG</t>
        </is>
      </c>
      <c r="B988" t="inlineStr">
        <is>
          <t>Sharqia 2</t>
        </is>
      </c>
      <c r="C988" s="22" t="n">
        <v>45352</v>
      </c>
      <c r="D988" t="inlineStr">
        <is>
          <t>Youssef Farouk</t>
        </is>
      </c>
      <c r="E988" t="n">
        <v>86</v>
      </c>
      <c r="F988" t="n">
        <v>2551</v>
      </c>
      <c r="G988" t="n">
        <v>2620</v>
      </c>
      <c r="H988" s="23" t="n">
        <v>219386</v>
      </c>
      <c r="I988" s="23" t="n">
        <v>225320</v>
      </c>
      <c r="J988" t="inlineStr">
        <is>
          <t>Mar</t>
        </is>
      </c>
      <c r="K988" t="n">
        <v>3</v>
      </c>
      <c r="L988" t="inlineStr">
        <is>
          <t>Q1</t>
        </is>
      </c>
      <c r="M988" t="n">
        <v>2024</v>
      </c>
      <c r="N988" s="22" t="n">
        <v>45352</v>
      </c>
      <c r="O988" s="24" t="n">
        <v>0.9736641221374046</v>
      </c>
      <c r="P988" s="23" t="n">
        <v>-5934</v>
      </c>
    </row>
    <row r="989">
      <c r="A989" t="inlineStr">
        <is>
          <t>Cataflam 50 MG</t>
        </is>
      </c>
      <c r="B989" t="inlineStr">
        <is>
          <t>Sharqia 2</t>
        </is>
      </c>
      <c r="C989" s="22" t="n">
        <v>45383</v>
      </c>
      <c r="D989" t="inlineStr">
        <is>
          <t>Youssef Farouk</t>
        </is>
      </c>
      <c r="E989" t="n">
        <v>86</v>
      </c>
      <c r="F989" t="n">
        <v>2326</v>
      </c>
      <c r="G989" t="n">
        <v>2708</v>
      </c>
      <c r="H989" s="23" t="n">
        <v>200036</v>
      </c>
      <c r="I989" s="23" t="n">
        <v>232888</v>
      </c>
      <c r="J989" t="inlineStr">
        <is>
          <t>Apr</t>
        </is>
      </c>
      <c r="K989" t="n">
        <v>4</v>
      </c>
      <c r="L989" t="inlineStr">
        <is>
          <t>Q2</t>
        </is>
      </c>
      <c r="M989" t="n">
        <v>2024</v>
      </c>
      <c r="N989" s="22" t="n">
        <v>45383</v>
      </c>
      <c r="O989" s="24" t="n">
        <v>0.8589364844903988</v>
      </c>
      <c r="P989" s="23" t="n">
        <v>-32852</v>
      </c>
    </row>
    <row r="990">
      <c r="A990" t="inlineStr">
        <is>
          <t>Cataflam 50 MG</t>
        </is>
      </c>
      <c r="B990" t="inlineStr">
        <is>
          <t>Sharqia 2</t>
        </is>
      </c>
      <c r="C990" s="22" t="n">
        <v>45413</v>
      </c>
      <c r="D990" t="inlineStr">
        <is>
          <t>Youssef Farouk</t>
        </is>
      </c>
      <c r="E990" t="n">
        <v>86</v>
      </c>
      <c r="F990" t="n">
        <v>3457</v>
      </c>
      <c r="G990" t="n">
        <v>3609</v>
      </c>
      <c r="H990" s="23" t="n">
        <v>297302</v>
      </c>
      <c r="I990" s="23" t="n">
        <v>310374</v>
      </c>
      <c r="J990" t="inlineStr">
        <is>
          <t>May</t>
        </is>
      </c>
      <c r="K990" t="n">
        <v>5</v>
      </c>
      <c r="L990" t="inlineStr">
        <is>
          <t>Q2</t>
        </is>
      </c>
      <c r="M990" t="n">
        <v>2024</v>
      </c>
      <c r="N990" s="22" t="n">
        <v>45413</v>
      </c>
      <c r="O990" s="24" t="n">
        <v>0.9578830701025215</v>
      </c>
      <c r="P990" s="23" t="n">
        <v>-13072</v>
      </c>
    </row>
    <row r="991">
      <c r="A991" t="inlineStr">
        <is>
          <t>Cataflam 50 MG</t>
        </is>
      </c>
      <c r="B991" t="inlineStr">
        <is>
          <t>Sharqia 2</t>
        </is>
      </c>
      <c r="C991" s="22" t="n">
        <v>45444</v>
      </c>
      <c r="D991" t="inlineStr">
        <is>
          <t>Youssef Farouk</t>
        </is>
      </c>
      <c r="E991" t="n">
        <v>86</v>
      </c>
      <c r="F991" t="n">
        <v>2846</v>
      </c>
      <c r="G991" t="n">
        <v>3137</v>
      </c>
      <c r="H991" s="23" t="n">
        <v>244756</v>
      </c>
      <c r="I991" s="23" t="n">
        <v>269782</v>
      </c>
      <c r="J991" t="inlineStr">
        <is>
          <t>Jun</t>
        </is>
      </c>
      <c r="K991" t="n">
        <v>6</v>
      </c>
      <c r="L991" t="inlineStr">
        <is>
          <t>Q2</t>
        </is>
      </c>
      <c r="M991" t="n">
        <v>2024</v>
      </c>
      <c r="N991" s="22" t="n">
        <v>45444</v>
      </c>
      <c r="O991" s="24" t="n">
        <v>0.9072362129423016</v>
      </c>
      <c r="P991" s="23" t="n">
        <v>-25026</v>
      </c>
    </row>
    <row r="992">
      <c r="A992" t="inlineStr">
        <is>
          <t>Cataflam 50 MG</t>
        </is>
      </c>
      <c r="B992" t="inlineStr">
        <is>
          <t>Sharqia 2</t>
        </is>
      </c>
      <c r="C992" s="22" t="n">
        <v>45474</v>
      </c>
      <c r="D992" t="inlineStr">
        <is>
          <t>Youssef Farouk</t>
        </is>
      </c>
      <c r="E992" t="n">
        <v>86</v>
      </c>
      <c r="F992" t="n">
        <v>2618</v>
      </c>
      <c r="G992" t="n">
        <v>2444</v>
      </c>
      <c r="H992" s="23" t="n">
        <v>225148</v>
      </c>
      <c r="I992" s="23" t="n">
        <v>210184</v>
      </c>
      <c r="J992" t="inlineStr">
        <is>
          <t>Jul</t>
        </is>
      </c>
      <c r="K992" t="n">
        <v>7</v>
      </c>
      <c r="L992" t="inlineStr">
        <is>
          <t>Q3</t>
        </is>
      </c>
      <c r="M992" t="n">
        <v>2024</v>
      </c>
      <c r="N992" s="22" t="n">
        <v>45474</v>
      </c>
      <c r="O992" s="24" t="n">
        <v>1.071194762684124</v>
      </c>
      <c r="P992" s="23" t="n">
        <v>14964</v>
      </c>
    </row>
    <row r="993">
      <c r="A993" t="inlineStr">
        <is>
          <t>Cataflam 50 MG</t>
        </is>
      </c>
      <c r="B993" t="inlineStr">
        <is>
          <t>Sharqia 2</t>
        </is>
      </c>
      <c r="C993" s="22" t="n">
        <v>45505</v>
      </c>
      <c r="D993" t="inlineStr">
        <is>
          <t>Youssef Farouk</t>
        </is>
      </c>
      <c r="E993" t="n">
        <v>86</v>
      </c>
      <c r="F993" t="n">
        <v>2769</v>
      </c>
      <c r="G993" t="n">
        <v>2567</v>
      </c>
      <c r="H993" s="23" t="n">
        <v>238134</v>
      </c>
      <c r="I993" s="23" t="n">
        <v>220762</v>
      </c>
      <c r="J993" t="inlineStr">
        <is>
          <t>Aug</t>
        </is>
      </c>
      <c r="K993" t="n">
        <v>8</v>
      </c>
      <c r="L993" t="inlineStr">
        <is>
          <t>Q3</t>
        </is>
      </c>
      <c r="M993" t="n">
        <v>2024</v>
      </c>
      <c r="N993" s="22" t="n">
        <v>45505</v>
      </c>
      <c r="O993" s="24" t="n">
        <v>1.078691079080639</v>
      </c>
      <c r="P993" s="23" t="n">
        <v>17372</v>
      </c>
    </row>
    <row r="994">
      <c r="A994" t="inlineStr">
        <is>
          <t>Cataflam 50 MG</t>
        </is>
      </c>
      <c r="B994" t="inlineStr">
        <is>
          <t>Sharqia 2</t>
        </is>
      </c>
      <c r="C994" s="22" t="n">
        <v>45536</v>
      </c>
      <c r="D994" t="inlineStr">
        <is>
          <t>Youssef Farouk</t>
        </is>
      </c>
      <c r="E994" t="n">
        <v>86</v>
      </c>
      <c r="F994" t="n">
        <v>2517</v>
      </c>
      <c r="G994" t="n">
        <v>2481</v>
      </c>
      <c r="H994" s="23" t="n">
        <v>216462</v>
      </c>
      <c r="I994" s="23" t="n">
        <v>213366</v>
      </c>
      <c r="J994" t="inlineStr">
        <is>
          <t>Sep</t>
        </is>
      </c>
      <c r="K994" t="n">
        <v>9</v>
      </c>
      <c r="L994" t="inlineStr">
        <is>
          <t>Q3</t>
        </is>
      </c>
      <c r="M994" t="n">
        <v>2024</v>
      </c>
      <c r="N994" s="22" t="n">
        <v>45536</v>
      </c>
      <c r="O994" s="24" t="n">
        <v>1.014510278113664</v>
      </c>
      <c r="P994" s="23" t="n">
        <v>3096</v>
      </c>
    </row>
    <row r="995">
      <c r="A995" t="inlineStr">
        <is>
          <t>Cataflam 50 MG</t>
        </is>
      </c>
      <c r="B995" t="inlineStr">
        <is>
          <t>Sharqia 2</t>
        </is>
      </c>
      <c r="C995" s="22" t="n">
        <v>45566</v>
      </c>
      <c r="D995" t="inlineStr">
        <is>
          <t>Youssef Farouk</t>
        </is>
      </c>
      <c r="E995" t="n">
        <v>86</v>
      </c>
      <c r="F995" t="n">
        <v>2075</v>
      </c>
      <c r="G995" t="n">
        <v>2395</v>
      </c>
      <c r="H995" s="23" t="n">
        <v>178450</v>
      </c>
      <c r="I995" s="23" t="n">
        <v>205970</v>
      </c>
      <c r="J995" t="inlineStr">
        <is>
          <t>Oct</t>
        </is>
      </c>
      <c r="K995" t="n">
        <v>10</v>
      </c>
      <c r="L995" t="inlineStr">
        <is>
          <t>Q4</t>
        </is>
      </c>
      <c r="M995" t="n">
        <v>2024</v>
      </c>
      <c r="N995" s="22" t="n">
        <v>45566</v>
      </c>
      <c r="O995" s="24" t="n">
        <v>0.8663883089770354</v>
      </c>
      <c r="P995" s="23" t="n">
        <v>-27520</v>
      </c>
    </row>
    <row r="996">
      <c r="A996" t="inlineStr">
        <is>
          <t>Cataflam 50 MG</t>
        </is>
      </c>
      <c r="B996" t="inlineStr">
        <is>
          <t>Sharqia 2</t>
        </is>
      </c>
      <c r="C996" s="22" t="n">
        <v>45597</v>
      </c>
      <c r="D996" t="inlineStr">
        <is>
          <t>Youssef Farouk</t>
        </is>
      </c>
      <c r="E996" t="n">
        <v>86</v>
      </c>
      <c r="F996" t="n">
        <v>3696</v>
      </c>
      <c r="G996" t="n">
        <v>3437</v>
      </c>
      <c r="H996" s="23" t="n">
        <v>317856</v>
      </c>
      <c r="I996" s="23" t="n">
        <v>295582</v>
      </c>
      <c r="J996" t="inlineStr">
        <is>
          <t>Nov</t>
        </is>
      </c>
      <c r="K996" t="n">
        <v>11</v>
      </c>
      <c r="L996" t="inlineStr">
        <is>
          <t>Q4</t>
        </is>
      </c>
      <c r="M996" t="n">
        <v>2024</v>
      </c>
      <c r="N996" s="22" t="n">
        <v>45597</v>
      </c>
      <c r="O996" s="24" t="n">
        <v>1.075356415478615</v>
      </c>
      <c r="P996" s="23" t="n">
        <v>22274</v>
      </c>
    </row>
    <row r="997">
      <c r="A997" t="inlineStr">
        <is>
          <t>Cataflam 50 MG</t>
        </is>
      </c>
      <c r="B997" t="inlineStr">
        <is>
          <t>Sharqia 2</t>
        </is>
      </c>
      <c r="C997" s="22" t="n">
        <v>45627</v>
      </c>
      <c r="D997" t="inlineStr">
        <is>
          <t>Youssef Farouk</t>
        </is>
      </c>
      <c r="E997" t="n">
        <v>86</v>
      </c>
      <c r="F997" t="n">
        <v>3366</v>
      </c>
      <c r="G997" t="n">
        <v>3299</v>
      </c>
      <c r="H997" s="23" t="n">
        <v>289476</v>
      </c>
      <c r="I997" s="23" t="n">
        <v>283714</v>
      </c>
      <c r="J997" t="inlineStr">
        <is>
          <t>Dec</t>
        </is>
      </c>
      <c r="K997" t="n">
        <v>12</v>
      </c>
      <c r="L997" t="inlineStr">
        <is>
          <t>Q4</t>
        </is>
      </c>
      <c r="M997" t="n">
        <v>2024</v>
      </c>
      <c r="N997" s="22" t="n">
        <v>45627</v>
      </c>
      <c r="O997" s="24" t="n">
        <v>1.020309184601394</v>
      </c>
      <c r="P997" s="23" t="n">
        <v>5762</v>
      </c>
    </row>
    <row r="998">
      <c r="A998" t="inlineStr">
        <is>
          <t>Cataflam 25 MG</t>
        </is>
      </c>
      <c r="B998" t="inlineStr">
        <is>
          <t>Alexandria 1</t>
        </is>
      </c>
      <c r="C998" s="22" t="n">
        <v>45292</v>
      </c>
      <c r="D998" t="inlineStr">
        <is>
          <t>Ahmed Hassan</t>
        </is>
      </c>
      <c r="E998" t="n">
        <v>34</v>
      </c>
      <c r="F998" t="n">
        <v>3419</v>
      </c>
      <c r="G998" t="n">
        <v>2500</v>
      </c>
      <c r="H998" s="23" t="n">
        <v>116246</v>
      </c>
      <c r="I998" s="23" t="n">
        <v>85000</v>
      </c>
      <c r="J998" t="inlineStr">
        <is>
          <t>Jan</t>
        </is>
      </c>
      <c r="K998" t="n">
        <v>1</v>
      </c>
      <c r="L998" t="inlineStr">
        <is>
          <t>Q1</t>
        </is>
      </c>
      <c r="M998" t="n">
        <v>2024</v>
      </c>
      <c r="N998" s="22" t="n">
        <v>45292</v>
      </c>
      <c r="O998" s="24" t="n">
        <v>1.3676</v>
      </c>
      <c r="P998" s="23" t="n">
        <v>31246</v>
      </c>
    </row>
    <row r="999">
      <c r="A999" t="inlineStr">
        <is>
          <t>Cataflam 25 MG</t>
        </is>
      </c>
      <c r="B999" t="inlineStr">
        <is>
          <t>Alexandria 1</t>
        </is>
      </c>
      <c r="C999" s="22" t="n">
        <v>45323</v>
      </c>
      <c r="D999" t="inlineStr">
        <is>
          <t>Ahmed Hassan</t>
        </is>
      </c>
      <c r="E999" t="n">
        <v>34</v>
      </c>
      <c r="F999" t="n">
        <v>3135</v>
      </c>
      <c r="G999" t="n">
        <v>3215</v>
      </c>
      <c r="H999" s="23" t="n">
        <v>106590</v>
      </c>
      <c r="I999" s="23" t="n">
        <v>109310</v>
      </c>
      <c r="J999" t="inlineStr">
        <is>
          <t>Feb</t>
        </is>
      </c>
      <c r="K999" t="n">
        <v>2</v>
      </c>
      <c r="L999" t="inlineStr">
        <is>
          <t>Q1</t>
        </is>
      </c>
      <c r="M999" t="n">
        <v>2024</v>
      </c>
      <c r="N999" s="22" t="n">
        <v>45323</v>
      </c>
      <c r="O999" s="24" t="n">
        <v>0.9751166407465007</v>
      </c>
      <c r="P999" s="23" t="n">
        <v>-2720</v>
      </c>
    </row>
    <row r="1000">
      <c r="A1000" t="inlineStr">
        <is>
          <t>Cataflam 25 MG</t>
        </is>
      </c>
      <c r="B1000" t="inlineStr">
        <is>
          <t>Alexandria 1</t>
        </is>
      </c>
      <c r="C1000" s="22" t="n">
        <v>45352</v>
      </c>
      <c r="D1000" t="inlineStr">
        <is>
          <t>Ahmed Hassan</t>
        </is>
      </c>
      <c r="E1000" t="n">
        <v>34</v>
      </c>
      <c r="F1000" t="n">
        <v>3888</v>
      </c>
      <c r="G1000" t="n">
        <v>3500</v>
      </c>
      <c r="H1000" s="23" t="n">
        <v>132192</v>
      </c>
      <c r="I1000" s="23" t="n">
        <v>119000</v>
      </c>
      <c r="J1000" t="inlineStr">
        <is>
          <t>Mar</t>
        </is>
      </c>
      <c r="K1000" t="n">
        <v>3</v>
      </c>
      <c r="L1000" t="inlineStr">
        <is>
          <t>Q1</t>
        </is>
      </c>
      <c r="M1000" t="n">
        <v>2024</v>
      </c>
      <c r="N1000" s="22" t="n">
        <v>45352</v>
      </c>
      <c r="O1000" s="24" t="n">
        <v>1.110857142857143</v>
      </c>
      <c r="P1000" s="23" t="n">
        <v>13192</v>
      </c>
    </row>
    <row r="1001">
      <c r="A1001" t="inlineStr">
        <is>
          <t>Cataflam 25 MG</t>
        </is>
      </c>
      <c r="B1001" t="inlineStr">
        <is>
          <t>Alexandria 1</t>
        </is>
      </c>
      <c r="C1001" s="22" t="n">
        <v>45383</v>
      </c>
      <c r="D1001" t="inlineStr">
        <is>
          <t>Ahmed Hassan</t>
        </is>
      </c>
      <c r="E1001" t="n">
        <v>34</v>
      </c>
      <c r="F1001" t="n">
        <v>3640</v>
      </c>
      <c r="G1001" t="n">
        <v>3478</v>
      </c>
      <c r="H1001" s="23" t="n">
        <v>123760</v>
      </c>
      <c r="I1001" s="23" t="n">
        <v>118252</v>
      </c>
      <c r="J1001" t="inlineStr">
        <is>
          <t>Apr</t>
        </is>
      </c>
      <c r="K1001" t="n">
        <v>4</v>
      </c>
      <c r="L1001" t="inlineStr">
        <is>
          <t>Q2</t>
        </is>
      </c>
      <c r="M1001" t="n">
        <v>2024</v>
      </c>
      <c r="N1001" s="22" t="n">
        <v>45383</v>
      </c>
      <c r="O1001" s="24" t="n">
        <v>1.046578493387004</v>
      </c>
      <c r="P1001" s="23" t="n">
        <v>5508</v>
      </c>
    </row>
    <row r="1002">
      <c r="A1002" t="inlineStr">
        <is>
          <t>Cataflam 25 MG</t>
        </is>
      </c>
      <c r="B1002" t="inlineStr">
        <is>
          <t>Alexandria 1</t>
        </is>
      </c>
      <c r="C1002" s="22" t="n">
        <v>45413</v>
      </c>
      <c r="D1002" t="inlineStr">
        <is>
          <t>Ahmed Hassan</t>
        </is>
      </c>
      <c r="E1002" t="n">
        <v>34</v>
      </c>
      <c r="F1002" t="n">
        <v>1951</v>
      </c>
      <c r="G1002" t="n">
        <v>2201</v>
      </c>
      <c r="H1002" s="23" t="n">
        <v>66334</v>
      </c>
      <c r="I1002" s="23" t="n">
        <v>74834</v>
      </c>
      <c r="J1002" t="inlineStr">
        <is>
          <t>May</t>
        </is>
      </c>
      <c r="K1002" t="n">
        <v>5</v>
      </c>
      <c r="L1002" t="inlineStr">
        <is>
          <t>Q2</t>
        </is>
      </c>
      <c r="M1002" t="n">
        <v>2024</v>
      </c>
      <c r="N1002" s="22" t="n">
        <v>45413</v>
      </c>
      <c r="O1002" s="24" t="n">
        <v>0.886415265788278</v>
      </c>
      <c r="P1002" s="23" t="n">
        <v>-8500</v>
      </c>
    </row>
    <row r="1003">
      <c r="A1003" t="inlineStr">
        <is>
          <t>Cataflam 25 MG</t>
        </is>
      </c>
      <c r="B1003" t="inlineStr">
        <is>
          <t>Alexandria 1</t>
        </is>
      </c>
      <c r="C1003" s="22" t="n">
        <v>45444</v>
      </c>
      <c r="D1003" t="inlineStr">
        <is>
          <t>Ahmed Hassan</t>
        </is>
      </c>
      <c r="E1003" t="n">
        <v>34</v>
      </c>
      <c r="F1003" t="n">
        <v>2552</v>
      </c>
      <c r="G1003" t="n">
        <v>2379</v>
      </c>
      <c r="H1003" s="23" t="n">
        <v>86768</v>
      </c>
      <c r="I1003" s="23" t="n">
        <v>80886</v>
      </c>
      <c r="J1003" t="inlineStr">
        <is>
          <t>Jun</t>
        </is>
      </c>
      <c r="K1003" t="n">
        <v>6</v>
      </c>
      <c r="L1003" t="inlineStr">
        <is>
          <t>Q2</t>
        </is>
      </c>
      <c r="M1003" t="n">
        <v>2024</v>
      </c>
      <c r="N1003" s="22" t="n">
        <v>45444</v>
      </c>
      <c r="O1003" s="24" t="n">
        <v>1.072719630096679</v>
      </c>
      <c r="P1003" s="23" t="n">
        <v>5882</v>
      </c>
    </row>
    <row r="1004">
      <c r="A1004" t="inlineStr">
        <is>
          <t>Cataflam 25 MG</t>
        </is>
      </c>
      <c r="B1004" t="inlineStr">
        <is>
          <t>Alexandria 1</t>
        </is>
      </c>
      <c r="C1004" s="22" t="n">
        <v>45474</v>
      </c>
      <c r="D1004" t="inlineStr">
        <is>
          <t>Ahmed Hassan</t>
        </is>
      </c>
      <c r="E1004" t="n">
        <v>34</v>
      </c>
      <c r="F1004" t="n">
        <v>2187</v>
      </c>
      <c r="G1004" t="n">
        <v>2230</v>
      </c>
      <c r="H1004" s="23" t="n">
        <v>74358</v>
      </c>
      <c r="I1004" s="23" t="n">
        <v>75820</v>
      </c>
      <c r="J1004" t="inlineStr">
        <is>
          <t>Jul</t>
        </is>
      </c>
      <c r="K1004" t="n">
        <v>7</v>
      </c>
      <c r="L1004" t="inlineStr">
        <is>
          <t>Q3</t>
        </is>
      </c>
      <c r="M1004" t="n">
        <v>2024</v>
      </c>
      <c r="N1004" s="22" t="n">
        <v>45474</v>
      </c>
      <c r="O1004" s="24" t="n">
        <v>0.9807174887892377</v>
      </c>
      <c r="P1004" s="23" t="n">
        <v>-1462</v>
      </c>
    </row>
    <row r="1005">
      <c r="A1005" t="inlineStr">
        <is>
          <t>Cataflam 25 MG</t>
        </is>
      </c>
      <c r="B1005" t="inlineStr">
        <is>
          <t>Alexandria 1</t>
        </is>
      </c>
      <c r="C1005" s="22" t="n">
        <v>45505</v>
      </c>
      <c r="D1005" t="inlineStr">
        <is>
          <t>Ahmed Hassan</t>
        </is>
      </c>
      <c r="E1005" t="n">
        <v>34</v>
      </c>
      <c r="F1005" t="n">
        <v>2991</v>
      </c>
      <c r="G1005" t="n">
        <v>3485</v>
      </c>
      <c r="H1005" s="23" t="n">
        <v>101694</v>
      </c>
      <c r="I1005" s="23" t="n">
        <v>118490</v>
      </c>
      <c r="J1005" t="inlineStr">
        <is>
          <t>Aug</t>
        </is>
      </c>
      <c r="K1005" t="n">
        <v>8</v>
      </c>
      <c r="L1005" t="inlineStr">
        <is>
          <t>Q3</t>
        </is>
      </c>
      <c r="M1005" t="n">
        <v>2024</v>
      </c>
      <c r="N1005" s="22" t="n">
        <v>45505</v>
      </c>
      <c r="O1005" s="24" t="n">
        <v>0.8582496413199426</v>
      </c>
      <c r="P1005" s="23" t="n">
        <v>-16796</v>
      </c>
    </row>
    <row r="1006">
      <c r="A1006" t="inlineStr">
        <is>
          <t>Cataflam 25 MG</t>
        </is>
      </c>
      <c r="B1006" t="inlineStr">
        <is>
          <t>Alexandria 1</t>
        </is>
      </c>
      <c r="C1006" s="22" t="n">
        <v>45536</v>
      </c>
      <c r="D1006" t="inlineStr">
        <is>
          <t>Ahmed Hassan</t>
        </is>
      </c>
      <c r="E1006" t="n">
        <v>34</v>
      </c>
      <c r="F1006" t="n">
        <v>3748</v>
      </c>
      <c r="G1006" t="n">
        <v>3923</v>
      </c>
      <c r="H1006" s="23" t="n">
        <v>127432</v>
      </c>
      <c r="I1006" s="23" t="n">
        <v>133382</v>
      </c>
      <c r="J1006" t="inlineStr">
        <is>
          <t>Sep</t>
        </is>
      </c>
      <c r="K1006" t="n">
        <v>9</v>
      </c>
      <c r="L1006" t="inlineStr">
        <is>
          <t>Q3</t>
        </is>
      </c>
      <c r="M1006" t="n">
        <v>2024</v>
      </c>
      <c r="N1006" s="22" t="n">
        <v>45536</v>
      </c>
      <c r="O1006" s="24" t="n">
        <v>0.9553912821820035</v>
      </c>
      <c r="P1006" s="23" t="n">
        <v>-5950</v>
      </c>
    </row>
    <row r="1007">
      <c r="A1007" t="inlineStr">
        <is>
          <t>Cataflam 25 MG</t>
        </is>
      </c>
      <c r="B1007" t="inlineStr">
        <is>
          <t>Alexandria 1</t>
        </is>
      </c>
      <c r="C1007" s="22" t="n">
        <v>45566</v>
      </c>
      <c r="D1007" t="inlineStr">
        <is>
          <t>Ahmed Hassan</t>
        </is>
      </c>
      <c r="E1007" t="n">
        <v>34</v>
      </c>
      <c r="F1007" t="n">
        <v>3215</v>
      </c>
      <c r="G1007" t="n">
        <v>3051</v>
      </c>
      <c r="H1007" s="23" t="n">
        <v>109310</v>
      </c>
      <c r="I1007" s="23" t="n">
        <v>103734</v>
      </c>
      <c r="J1007" t="inlineStr">
        <is>
          <t>Oct</t>
        </is>
      </c>
      <c r="K1007" t="n">
        <v>10</v>
      </c>
      <c r="L1007" t="inlineStr">
        <is>
          <t>Q4</t>
        </is>
      </c>
      <c r="M1007" t="n">
        <v>2024</v>
      </c>
      <c r="N1007" s="22" t="n">
        <v>45566</v>
      </c>
      <c r="O1007" s="24" t="n">
        <v>1.05375286791216</v>
      </c>
      <c r="P1007" s="23" t="n">
        <v>5576</v>
      </c>
    </row>
    <row r="1008">
      <c r="A1008" t="inlineStr">
        <is>
          <t>Cataflam 25 MG</t>
        </is>
      </c>
      <c r="B1008" t="inlineStr">
        <is>
          <t>Alexandria 1</t>
        </is>
      </c>
      <c r="C1008" s="22" t="n">
        <v>45597</v>
      </c>
      <c r="D1008" t="inlineStr">
        <is>
          <t>Ahmed Hassan</t>
        </is>
      </c>
      <c r="E1008" t="n">
        <v>34</v>
      </c>
      <c r="F1008" t="n">
        <v>3506</v>
      </c>
      <c r="G1008" t="n">
        <v>3479</v>
      </c>
      <c r="H1008" s="23" t="n">
        <v>119204</v>
      </c>
      <c r="I1008" s="23" t="n">
        <v>118286</v>
      </c>
      <c r="J1008" t="inlineStr">
        <is>
          <t>Nov</t>
        </is>
      </c>
      <c r="K1008" t="n">
        <v>11</v>
      </c>
      <c r="L1008" t="inlineStr">
        <is>
          <t>Q4</t>
        </is>
      </c>
      <c r="M1008" t="n">
        <v>2024</v>
      </c>
      <c r="N1008" s="22" t="n">
        <v>45597</v>
      </c>
      <c r="O1008" s="24" t="n">
        <v>1.007760850819201</v>
      </c>
      <c r="P1008" s="23" t="n">
        <v>918</v>
      </c>
    </row>
    <row r="1009">
      <c r="A1009" t="inlineStr">
        <is>
          <t>Cataflam 25 MG</t>
        </is>
      </c>
      <c r="B1009" t="inlineStr">
        <is>
          <t>Alexandria 1</t>
        </is>
      </c>
      <c r="C1009" s="22" t="n">
        <v>45627</v>
      </c>
      <c r="D1009" t="inlineStr">
        <is>
          <t>Ahmed Hassan</t>
        </is>
      </c>
      <c r="E1009" t="n">
        <v>34</v>
      </c>
      <c r="F1009" t="n">
        <v>3690</v>
      </c>
      <c r="G1009" t="n">
        <v>3830</v>
      </c>
      <c r="H1009" s="23" t="n">
        <v>125460</v>
      </c>
      <c r="I1009" s="23" t="n">
        <v>130220</v>
      </c>
      <c r="J1009" t="inlineStr">
        <is>
          <t>Dec</t>
        </is>
      </c>
      <c r="K1009" t="n">
        <v>12</v>
      </c>
      <c r="L1009" t="inlineStr">
        <is>
          <t>Q4</t>
        </is>
      </c>
      <c r="M1009" t="n">
        <v>2024</v>
      </c>
      <c r="N1009" s="22" t="n">
        <v>45627</v>
      </c>
      <c r="O1009" s="24" t="n">
        <v>0.9634464751958225</v>
      </c>
      <c r="P1009" s="23" t="n">
        <v>-4760</v>
      </c>
    </row>
    <row r="1010">
      <c r="A1010" t="inlineStr">
        <is>
          <t>Cataflam 25 MG</t>
        </is>
      </c>
      <c r="B1010" t="inlineStr">
        <is>
          <t>Alexandria 2</t>
        </is>
      </c>
      <c r="C1010" s="22" t="n">
        <v>45292</v>
      </c>
      <c r="D1010" t="inlineStr">
        <is>
          <t>Amira Mostafa</t>
        </is>
      </c>
      <c r="E1010" t="n">
        <v>34</v>
      </c>
      <c r="F1010" t="n">
        <v>3355</v>
      </c>
      <c r="G1010" t="n">
        <v>3202</v>
      </c>
      <c r="H1010" s="23" t="n">
        <v>114070</v>
      </c>
      <c r="I1010" s="23" t="n">
        <v>108868</v>
      </c>
      <c r="J1010" t="inlineStr">
        <is>
          <t>Jan</t>
        </is>
      </c>
      <c r="K1010" t="n">
        <v>1</v>
      </c>
      <c r="L1010" t="inlineStr">
        <is>
          <t>Q1</t>
        </is>
      </c>
      <c r="M1010" t="n">
        <v>2024</v>
      </c>
      <c r="N1010" s="22" t="n">
        <v>45292</v>
      </c>
      <c r="O1010" s="24" t="n">
        <v>1.047782635852592</v>
      </c>
      <c r="P1010" s="23" t="n">
        <v>5202</v>
      </c>
    </row>
    <row r="1011">
      <c r="A1011" t="inlineStr">
        <is>
          <t>Cataflam 25 MG</t>
        </is>
      </c>
      <c r="B1011" t="inlineStr">
        <is>
          <t>Alexandria 2</t>
        </is>
      </c>
      <c r="C1011" s="22" t="n">
        <v>45323</v>
      </c>
      <c r="D1011" t="inlineStr">
        <is>
          <t>Amira Mostafa</t>
        </is>
      </c>
      <c r="E1011" t="n">
        <v>34</v>
      </c>
      <c r="F1011" t="n">
        <v>3387</v>
      </c>
      <c r="G1011" t="n">
        <v>3857</v>
      </c>
      <c r="H1011" s="23" t="n">
        <v>115158</v>
      </c>
      <c r="I1011" s="23" t="n">
        <v>131138</v>
      </c>
      <c r="J1011" t="inlineStr">
        <is>
          <t>Feb</t>
        </is>
      </c>
      <c r="K1011" t="n">
        <v>2</v>
      </c>
      <c r="L1011" t="inlineStr">
        <is>
          <t>Q1</t>
        </is>
      </c>
      <c r="M1011" t="n">
        <v>2024</v>
      </c>
      <c r="N1011" s="22" t="n">
        <v>45323</v>
      </c>
      <c r="O1011" s="24" t="n">
        <v>0.8781436349494426</v>
      </c>
      <c r="P1011" s="23" t="n">
        <v>-15980</v>
      </c>
    </row>
    <row r="1012">
      <c r="A1012" t="inlineStr">
        <is>
          <t>Cataflam 25 MG</t>
        </is>
      </c>
      <c r="B1012" t="inlineStr">
        <is>
          <t>Alexandria 2</t>
        </is>
      </c>
      <c r="C1012" s="22" t="n">
        <v>45352</v>
      </c>
      <c r="D1012" t="inlineStr">
        <is>
          <t>Amira Mostafa</t>
        </is>
      </c>
      <c r="E1012" t="n">
        <v>34</v>
      </c>
      <c r="F1012" t="n">
        <v>2085</v>
      </c>
      <c r="G1012" t="n">
        <v>2129</v>
      </c>
      <c r="H1012" s="23" t="n">
        <v>70890</v>
      </c>
      <c r="I1012" s="23" t="n">
        <v>72386</v>
      </c>
      <c r="J1012" t="inlineStr">
        <is>
          <t>Mar</t>
        </is>
      </c>
      <c r="K1012" t="n">
        <v>3</v>
      </c>
      <c r="L1012" t="inlineStr">
        <is>
          <t>Q1</t>
        </is>
      </c>
      <c r="M1012" t="n">
        <v>2024</v>
      </c>
      <c r="N1012" s="22" t="n">
        <v>45352</v>
      </c>
      <c r="O1012" s="24" t="n">
        <v>0.9793330201972757</v>
      </c>
      <c r="P1012" s="23" t="n">
        <v>-1496</v>
      </c>
    </row>
    <row r="1013">
      <c r="A1013" t="inlineStr">
        <is>
          <t>Cataflam 25 MG</t>
        </is>
      </c>
      <c r="B1013" t="inlineStr">
        <is>
          <t>Alexandria 2</t>
        </is>
      </c>
      <c r="C1013" s="22" t="n">
        <v>45383</v>
      </c>
      <c r="D1013" t="inlineStr">
        <is>
          <t>Amira Mostafa</t>
        </is>
      </c>
      <c r="E1013" t="n">
        <v>34</v>
      </c>
      <c r="F1013" t="n">
        <v>2170</v>
      </c>
      <c r="G1013" t="n">
        <v>2217</v>
      </c>
      <c r="H1013" s="23" t="n">
        <v>73780</v>
      </c>
      <c r="I1013" s="23" t="n">
        <v>75378</v>
      </c>
      <c r="J1013" t="inlineStr">
        <is>
          <t>Apr</t>
        </is>
      </c>
      <c r="K1013" t="n">
        <v>4</v>
      </c>
      <c r="L1013" t="inlineStr">
        <is>
          <t>Q2</t>
        </is>
      </c>
      <c r="M1013" t="n">
        <v>2024</v>
      </c>
      <c r="N1013" s="22" t="n">
        <v>45383</v>
      </c>
      <c r="O1013" s="24" t="n">
        <v>0.9788001804239964</v>
      </c>
      <c r="P1013" s="23" t="n">
        <v>-1598</v>
      </c>
    </row>
    <row r="1014">
      <c r="A1014" t="inlineStr">
        <is>
          <t>Cataflam 25 MG</t>
        </is>
      </c>
      <c r="B1014" t="inlineStr">
        <is>
          <t>Alexandria 2</t>
        </is>
      </c>
      <c r="C1014" s="22" t="n">
        <v>45413</v>
      </c>
      <c r="D1014" t="inlineStr">
        <is>
          <t>Amira Mostafa</t>
        </is>
      </c>
      <c r="E1014" t="n">
        <v>34</v>
      </c>
      <c r="F1014" t="n">
        <v>3665</v>
      </c>
      <c r="G1014" t="n">
        <v>3401</v>
      </c>
      <c r="H1014" s="23" t="n">
        <v>124610</v>
      </c>
      <c r="I1014" s="23" t="n">
        <v>115634</v>
      </c>
      <c r="J1014" t="inlineStr">
        <is>
          <t>May</t>
        </is>
      </c>
      <c r="K1014" t="n">
        <v>5</v>
      </c>
      <c r="L1014" t="inlineStr">
        <is>
          <t>Q2</t>
        </is>
      </c>
      <c r="M1014" t="n">
        <v>2024</v>
      </c>
      <c r="N1014" s="22" t="n">
        <v>45413</v>
      </c>
      <c r="O1014" s="24" t="n">
        <v>1.077624228168186</v>
      </c>
      <c r="P1014" s="23" t="n">
        <v>8976</v>
      </c>
    </row>
    <row r="1015">
      <c r="A1015" t="inlineStr">
        <is>
          <t>Cataflam 25 MG</t>
        </is>
      </c>
      <c r="B1015" t="inlineStr">
        <is>
          <t>Alexandria 2</t>
        </is>
      </c>
      <c r="C1015" s="22" t="n">
        <v>45444</v>
      </c>
      <c r="D1015" t="inlineStr">
        <is>
          <t>Amira Mostafa</t>
        </is>
      </c>
      <c r="E1015" t="n">
        <v>34</v>
      </c>
      <c r="F1015" t="n">
        <v>2268</v>
      </c>
      <c r="G1015" t="n">
        <v>2370</v>
      </c>
      <c r="H1015" s="23" t="n">
        <v>77112</v>
      </c>
      <c r="I1015" s="23" t="n">
        <v>80580</v>
      </c>
      <c r="J1015" t="inlineStr">
        <is>
          <t>Jun</t>
        </is>
      </c>
      <c r="K1015" t="n">
        <v>6</v>
      </c>
      <c r="L1015" t="inlineStr">
        <is>
          <t>Q2</t>
        </is>
      </c>
      <c r="M1015" t="n">
        <v>2024</v>
      </c>
      <c r="N1015" s="22" t="n">
        <v>45444</v>
      </c>
      <c r="O1015" s="24" t="n">
        <v>0.9569620253164557</v>
      </c>
      <c r="P1015" s="23" t="n">
        <v>-3468</v>
      </c>
    </row>
    <row r="1016">
      <c r="A1016" t="inlineStr">
        <is>
          <t>Cataflam 25 MG</t>
        </is>
      </c>
      <c r="B1016" t="inlineStr">
        <is>
          <t>Alexandria 2</t>
        </is>
      </c>
      <c r="C1016" s="22" t="n">
        <v>45474</v>
      </c>
      <c r="D1016" t="inlineStr">
        <is>
          <t>Amira Mostafa</t>
        </is>
      </c>
      <c r="E1016" t="n">
        <v>34</v>
      </c>
      <c r="F1016" t="n">
        <v>2362</v>
      </c>
      <c r="G1016" t="n">
        <v>2417</v>
      </c>
      <c r="H1016" s="23" t="n">
        <v>80308</v>
      </c>
      <c r="I1016" s="23" t="n">
        <v>82178</v>
      </c>
      <c r="J1016" t="inlineStr">
        <is>
          <t>Jul</t>
        </is>
      </c>
      <c r="K1016" t="n">
        <v>7</v>
      </c>
      <c r="L1016" t="inlineStr">
        <is>
          <t>Q3</t>
        </is>
      </c>
      <c r="M1016" t="n">
        <v>2024</v>
      </c>
      <c r="N1016" s="22" t="n">
        <v>45474</v>
      </c>
      <c r="O1016" s="24" t="n">
        <v>0.9772445179975175</v>
      </c>
      <c r="P1016" s="23" t="n">
        <v>-1870</v>
      </c>
    </row>
    <row r="1017">
      <c r="A1017" t="inlineStr">
        <is>
          <t>Cataflam 25 MG</t>
        </is>
      </c>
      <c r="B1017" t="inlineStr">
        <is>
          <t>Alexandria 2</t>
        </is>
      </c>
      <c r="C1017" s="22" t="n">
        <v>45505</v>
      </c>
      <c r="D1017" t="inlineStr">
        <is>
          <t>Amira Mostafa</t>
        </is>
      </c>
      <c r="E1017" t="n">
        <v>34</v>
      </c>
      <c r="F1017" t="n">
        <v>3349</v>
      </c>
      <c r="G1017" t="n">
        <v>3905</v>
      </c>
      <c r="H1017" s="23" t="n">
        <v>113866</v>
      </c>
      <c r="I1017" s="23" t="n">
        <v>132770</v>
      </c>
      <c r="J1017" t="inlineStr">
        <is>
          <t>Aug</t>
        </is>
      </c>
      <c r="K1017" t="n">
        <v>8</v>
      </c>
      <c r="L1017" t="inlineStr">
        <is>
          <t>Q3</t>
        </is>
      </c>
      <c r="M1017" t="n">
        <v>2024</v>
      </c>
      <c r="N1017" s="22" t="n">
        <v>45505</v>
      </c>
      <c r="O1017" s="24" t="n">
        <v>0.857618437900128</v>
      </c>
      <c r="P1017" s="23" t="n">
        <v>-18904</v>
      </c>
    </row>
    <row r="1018">
      <c r="A1018" t="inlineStr">
        <is>
          <t>Cataflam 25 MG</t>
        </is>
      </c>
      <c r="B1018" t="inlineStr">
        <is>
          <t>Alexandria 2</t>
        </is>
      </c>
      <c r="C1018" s="22" t="n">
        <v>45536</v>
      </c>
      <c r="D1018" t="inlineStr">
        <is>
          <t>Amira Mostafa</t>
        </is>
      </c>
      <c r="E1018" t="n">
        <v>34</v>
      </c>
      <c r="F1018" t="n">
        <v>2680</v>
      </c>
      <c r="G1018" t="n">
        <v>2722</v>
      </c>
      <c r="H1018" s="23" t="n">
        <v>91120</v>
      </c>
      <c r="I1018" s="23" t="n">
        <v>92548</v>
      </c>
      <c r="J1018" t="inlineStr">
        <is>
          <t>Sep</t>
        </is>
      </c>
      <c r="K1018" t="n">
        <v>9</v>
      </c>
      <c r="L1018" t="inlineStr">
        <is>
          <t>Q3</t>
        </is>
      </c>
      <c r="M1018" t="n">
        <v>2024</v>
      </c>
      <c r="N1018" s="22" t="n">
        <v>45536</v>
      </c>
      <c r="O1018" s="24" t="n">
        <v>0.9845701689933872</v>
      </c>
      <c r="P1018" s="23" t="n">
        <v>-1428</v>
      </c>
    </row>
    <row r="1019">
      <c r="A1019" t="inlineStr">
        <is>
          <t>Cataflam 25 MG</t>
        </is>
      </c>
      <c r="B1019" t="inlineStr">
        <is>
          <t>Alexandria 2</t>
        </is>
      </c>
      <c r="C1019" s="22" t="n">
        <v>45566</v>
      </c>
      <c r="D1019" t="inlineStr">
        <is>
          <t>Amira Mostafa</t>
        </is>
      </c>
      <c r="E1019" t="n">
        <v>34</v>
      </c>
      <c r="F1019" t="n">
        <v>2793</v>
      </c>
      <c r="G1019" t="n">
        <v>2946</v>
      </c>
      <c r="H1019" s="23" t="n">
        <v>94962</v>
      </c>
      <c r="I1019" s="23" t="n">
        <v>100164</v>
      </c>
      <c r="J1019" t="inlineStr">
        <is>
          <t>Oct</t>
        </is>
      </c>
      <c r="K1019" t="n">
        <v>10</v>
      </c>
      <c r="L1019" t="inlineStr">
        <is>
          <t>Q4</t>
        </is>
      </c>
      <c r="M1019" t="n">
        <v>2024</v>
      </c>
      <c r="N1019" s="22" t="n">
        <v>45566</v>
      </c>
      <c r="O1019" s="24" t="n">
        <v>0.9480651731160896</v>
      </c>
      <c r="P1019" s="23" t="n">
        <v>-5202</v>
      </c>
    </row>
    <row r="1020">
      <c r="A1020" t="inlineStr">
        <is>
          <t>Cataflam 25 MG</t>
        </is>
      </c>
      <c r="B1020" t="inlineStr">
        <is>
          <t>Alexandria 2</t>
        </is>
      </c>
      <c r="C1020" s="22" t="n">
        <v>45597</v>
      </c>
      <c r="D1020" t="inlineStr">
        <is>
          <t>Amira Mostafa</t>
        </is>
      </c>
      <c r="E1020" t="n">
        <v>34</v>
      </c>
      <c r="F1020" t="n">
        <v>2475</v>
      </c>
      <c r="G1020" t="n">
        <v>2758</v>
      </c>
      <c r="H1020" s="23" t="n">
        <v>84150</v>
      </c>
      <c r="I1020" s="23" t="n">
        <v>93772</v>
      </c>
      <c r="J1020" t="inlineStr">
        <is>
          <t>Nov</t>
        </is>
      </c>
      <c r="K1020" t="n">
        <v>11</v>
      </c>
      <c r="L1020" t="inlineStr">
        <is>
          <t>Q4</t>
        </is>
      </c>
      <c r="M1020" t="n">
        <v>2024</v>
      </c>
      <c r="N1020" s="22" t="n">
        <v>45597</v>
      </c>
      <c r="O1020" s="24" t="n">
        <v>0.897389412617839</v>
      </c>
      <c r="P1020" s="23" t="n">
        <v>-9622</v>
      </c>
    </row>
    <row r="1021">
      <c r="A1021" t="inlineStr">
        <is>
          <t>Cataflam 25 MG</t>
        </is>
      </c>
      <c r="B1021" t="inlineStr">
        <is>
          <t>Alexandria 2</t>
        </is>
      </c>
      <c r="C1021" s="22" t="n">
        <v>45627</v>
      </c>
      <c r="D1021" t="inlineStr">
        <is>
          <t>Amira Mostafa</t>
        </is>
      </c>
      <c r="E1021" t="n">
        <v>34</v>
      </c>
      <c r="F1021" t="n">
        <v>2548</v>
      </c>
      <c r="G1021" t="n">
        <v>2451</v>
      </c>
      <c r="H1021" s="23" t="n">
        <v>86632</v>
      </c>
      <c r="I1021" s="23" t="n">
        <v>83334</v>
      </c>
      <c r="J1021" t="inlineStr">
        <is>
          <t>Dec</t>
        </is>
      </c>
      <c r="K1021" t="n">
        <v>12</v>
      </c>
      <c r="L1021" t="inlineStr">
        <is>
          <t>Q4</t>
        </is>
      </c>
      <c r="M1021" t="n">
        <v>2024</v>
      </c>
      <c r="N1021" s="22" t="n">
        <v>45627</v>
      </c>
      <c r="O1021" s="24" t="n">
        <v>1.039575683394533</v>
      </c>
      <c r="P1021" s="23" t="n">
        <v>3298</v>
      </c>
    </row>
    <row r="1022">
      <c r="A1022" t="inlineStr">
        <is>
          <t>Cataflam 25 MG</t>
        </is>
      </c>
      <c r="B1022" t="inlineStr">
        <is>
          <t>Cairo 1</t>
        </is>
      </c>
      <c r="C1022" s="22" t="n">
        <v>45292</v>
      </c>
      <c r="D1022" t="inlineStr">
        <is>
          <t>Fatma Ali</t>
        </is>
      </c>
      <c r="E1022" t="n">
        <v>34</v>
      </c>
      <c r="F1022" t="n">
        <v>2997</v>
      </c>
      <c r="G1022" t="n">
        <v>3349</v>
      </c>
      <c r="H1022" s="23" t="n">
        <v>101898</v>
      </c>
      <c r="I1022" s="23" t="n">
        <v>113866</v>
      </c>
      <c r="J1022" t="inlineStr">
        <is>
          <t>Jan</t>
        </is>
      </c>
      <c r="K1022" t="n">
        <v>1</v>
      </c>
      <c r="L1022" t="inlineStr">
        <is>
          <t>Q1</t>
        </is>
      </c>
      <c r="M1022" t="n">
        <v>2024</v>
      </c>
      <c r="N1022" s="22" t="n">
        <v>45292</v>
      </c>
      <c r="O1022" s="24" t="n">
        <v>0.8948939982084204</v>
      </c>
      <c r="P1022" s="23" t="n">
        <v>-11968</v>
      </c>
    </row>
    <row r="1023">
      <c r="A1023" t="inlineStr">
        <is>
          <t>Cataflam 25 MG</t>
        </is>
      </c>
      <c r="B1023" t="inlineStr">
        <is>
          <t>Cairo 1</t>
        </is>
      </c>
      <c r="C1023" s="22" t="n">
        <v>45323</v>
      </c>
      <c r="D1023" t="inlineStr">
        <is>
          <t>Fatma Ali</t>
        </is>
      </c>
      <c r="E1023" t="n">
        <v>34</v>
      </c>
      <c r="F1023" t="n">
        <v>2923</v>
      </c>
      <c r="G1023" t="n">
        <v>2786</v>
      </c>
      <c r="H1023" s="23" t="n">
        <v>99382</v>
      </c>
      <c r="I1023" s="23" t="n">
        <v>94724</v>
      </c>
      <c r="J1023" t="inlineStr">
        <is>
          <t>Feb</t>
        </is>
      </c>
      <c r="K1023" t="n">
        <v>2</v>
      </c>
      <c r="L1023" t="inlineStr">
        <is>
          <t>Q1</t>
        </is>
      </c>
      <c r="M1023" t="n">
        <v>2024</v>
      </c>
      <c r="N1023" s="22" t="n">
        <v>45323</v>
      </c>
      <c r="O1023" s="24" t="n">
        <v>1.049174443646806</v>
      </c>
      <c r="P1023" s="23" t="n">
        <v>4658</v>
      </c>
    </row>
    <row r="1024">
      <c r="A1024" t="inlineStr">
        <is>
          <t>Cataflam 25 MG</t>
        </is>
      </c>
      <c r="B1024" t="inlineStr">
        <is>
          <t>Cairo 1</t>
        </is>
      </c>
      <c r="C1024" s="22" t="n">
        <v>45352</v>
      </c>
      <c r="D1024" t="inlineStr">
        <is>
          <t>Fatma Ali</t>
        </is>
      </c>
      <c r="E1024" t="n">
        <v>34</v>
      </c>
      <c r="F1024" t="n">
        <v>3332</v>
      </c>
      <c r="G1024" t="n">
        <v>3368</v>
      </c>
      <c r="H1024" s="23" t="n">
        <v>113288</v>
      </c>
      <c r="I1024" s="23" t="n">
        <v>114512</v>
      </c>
      <c r="J1024" t="inlineStr">
        <is>
          <t>Mar</t>
        </is>
      </c>
      <c r="K1024" t="n">
        <v>3</v>
      </c>
      <c r="L1024" t="inlineStr">
        <is>
          <t>Q1</t>
        </is>
      </c>
      <c r="M1024" t="n">
        <v>2024</v>
      </c>
      <c r="N1024" s="22" t="n">
        <v>45352</v>
      </c>
      <c r="O1024" s="24" t="n">
        <v>0.9893111638954869</v>
      </c>
      <c r="P1024" s="23" t="n">
        <v>-1224</v>
      </c>
    </row>
    <row r="1025">
      <c r="A1025" t="inlineStr">
        <is>
          <t>Cataflam 25 MG</t>
        </is>
      </c>
      <c r="B1025" t="inlineStr">
        <is>
          <t>Cairo 1</t>
        </is>
      </c>
      <c r="C1025" s="22" t="n">
        <v>45383</v>
      </c>
      <c r="D1025" t="inlineStr">
        <is>
          <t>Fatma Ali</t>
        </is>
      </c>
      <c r="E1025" t="n">
        <v>34</v>
      </c>
      <c r="F1025" t="n">
        <v>2769</v>
      </c>
      <c r="G1025" t="n">
        <v>3195</v>
      </c>
      <c r="H1025" s="23" t="n">
        <v>94146</v>
      </c>
      <c r="I1025" s="23" t="n">
        <v>108630</v>
      </c>
      <c r="J1025" t="inlineStr">
        <is>
          <t>Apr</t>
        </is>
      </c>
      <c r="K1025" t="n">
        <v>4</v>
      </c>
      <c r="L1025" t="inlineStr">
        <is>
          <t>Q2</t>
        </is>
      </c>
      <c r="M1025" t="n">
        <v>2024</v>
      </c>
      <c r="N1025" s="22" t="n">
        <v>45383</v>
      </c>
      <c r="O1025" s="24" t="n">
        <v>0.8666666666666667</v>
      </c>
      <c r="P1025" s="23" t="n">
        <v>-14484</v>
      </c>
    </row>
    <row r="1026">
      <c r="A1026" t="inlineStr">
        <is>
          <t>Cataflam 25 MG</t>
        </is>
      </c>
      <c r="B1026" t="inlineStr">
        <is>
          <t>Cairo 1</t>
        </is>
      </c>
      <c r="C1026" s="22" t="n">
        <v>45413</v>
      </c>
      <c r="D1026" t="inlineStr">
        <is>
          <t>Fatma Ali</t>
        </is>
      </c>
      <c r="E1026" t="n">
        <v>34</v>
      </c>
      <c r="F1026" t="n">
        <v>2681</v>
      </c>
      <c r="G1026" t="n">
        <v>2719</v>
      </c>
      <c r="H1026" s="23" t="n">
        <v>91154</v>
      </c>
      <c r="I1026" s="23" t="n">
        <v>92446</v>
      </c>
      <c r="J1026" t="inlineStr">
        <is>
          <t>May</t>
        </is>
      </c>
      <c r="K1026" t="n">
        <v>5</v>
      </c>
      <c r="L1026" t="inlineStr">
        <is>
          <t>Q2</t>
        </is>
      </c>
      <c r="M1026" t="n">
        <v>2024</v>
      </c>
      <c r="N1026" s="22" t="n">
        <v>45413</v>
      </c>
      <c r="O1026" s="24" t="n">
        <v>0.986024273630011</v>
      </c>
      <c r="P1026" s="23" t="n">
        <v>-1292</v>
      </c>
    </row>
    <row r="1027">
      <c r="A1027" t="inlineStr">
        <is>
          <t>Cataflam 25 MG</t>
        </is>
      </c>
      <c r="B1027" t="inlineStr">
        <is>
          <t>Cairo 1</t>
        </is>
      </c>
      <c r="C1027" s="22" t="n">
        <v>45444</v>
      </c>
      <c r="D1027" t="inlineStr">
        <is>
          <t>Fatma Ali</t>
        </is>
      </c>
      <c r="E1027" t="n">
        <v>34</v>
      </c>
      <c r="F1027" t="n">
        <v>3126</v>
      </c>
      <c r="G1027" t="n">
        <v>3131</v>
      </c>
      <c r="H1027" s="23" t="n">
        <v>106284</v>
      </c>
      <c r="I1027" s="23" t="n">
        <v>106454</v>
      </c>
      <c r="J1027" t="inlineStr">
        <is>
          <t>Jun</t>
        </is>
      </c>
      <c r="K1027" t="n">
        <v>6</v>
      </c>
      <c r="L1027" t="inlineStr">
        <is>
          <t>Q2</t>
        </is>
      </c>
      <c r="M1027" t="n">
        <v>2024</v>
      </c>
      <c r="N1027" s="22" t="n">
        <v>45444</v>
      </c>
      <c r="O1027" s="24" t="n">
        <v>0.998403066113063</v>
      </c>
      <c r="P1027" s="23" t="n">
        <v>-170</v>
      </c>
    </row>
    <row r="1028">
      <c r="A1028" t="inlineStr">
        <is>
          <t>Cataflam 25 MG</t>
        </is>
      </c>
      <c r="B1028" t="inlineStr">
        <is>
          <t>Cairo 1</t>
        </is>
      </c>
      <c r="C1028" s="22" t="n">
        <v>45474</v>
      </c>
      <c r="D1028" t="inlineStr">
        <is>
          <t>Fatma Ali</t>
        </is>
      </c>
      <c r="E1028" t="n">
        <v>34</v>
      </c>
      <c r="F1028" t="n">
        <v>2043</v>
      </c>
      <c r="G1028" t="n">
        <v>2262</v>
      </c>
      <c r="H1028" s="23" t="n">
        <v>69462</v>
      </c>
      <c r="I1028" s="23" t="n">
        <v>76908</v>
      </c>
      <c r="J1028" t="inlineStr">
        <is>
          <t>Jul</t>
        </is>
      </c>
      <c r="K1028" t="n">
        <v>7</v>
      </c>
      <c r="L1028" t="inlineStr">
        <is>
          <t>Q3</t>
        </is>
      </c>
      <c r="M1028" t="n">
        <v>2024</v>
      </c>
      <c r="N1028" s="22" t="n">
        <v>45474</v>
      </c>
      <c r="O1028" s="24" t="n">
        <v>0.903183023872679</v>
      </c>
      <c r="P1028" s="23" t="n">
        <v>-7446</v>
      </c>
    </row>
    <row r="1029">
      <c r="A1029" t="inlineStr">
        <is>
          <t>Cataflam 25 MG</t>
        </is>
      </c>
      <c r="B1029" t="inlineStr">
        <is>
          <t>Cairo 1</t>
        </is>
      </c>
      <c r="C1029" s="22" t="n">
        <v>45505</v>
      </c>
      <c r="D1029" t="inlineStr">
        <is>
          <t>Fatma Ali</t>
        </is>
      </c>
      <c r="E1029" t="n">
        <v>34</v>
      </c>
      <c r="F1029" t="n">
        <v>2664</v>
      </c>
      <c r="G1029" t="n">
        <v>2743</v>
      </c>
      <c r="H1029" s="23" t="n">
        <v>90576</v>
      </c>
      <c r="I1029" s="23" t="n">
        <v>93262</v>
      </c>
      <c r="J1029" t="inlineStr">
        <is>
          <t>Aug</t>
        </is>
      </c>
      <c r="K1029" t="n">
        <v>8</v>
      </c>
      <c r="L1029" t="inlineStr">
        <is>
          <t>Q3</t>
        </is>
      </c>
      <c r="M1029" t="n">
        <v>2024</v>
      </c>
      <c r="N1029" s="22" t="n">
        <v>45505</v>
      </c>
      <c r="O1029" s="24" t="n">
        <v>0.971199416697047</v>
      </c>
      <c r="P1029" s="23" t="n">
        <v>-2686</v>
      </c>
    </row>
    <row r="1030">
      <c r="A1030" t="inlineStr">
        <is>
          <t>Cataflam 25 MG</t>
        </is>
      </c>
      <c r="B1030" t="inlineStr">
        <is>
          <t>Cairo 1</t>
        </is>
      </c>
      <c r="C1030" s="22" t="n">
        <v>45536</v>
      </c>
      <c r="D1030" t="inlineStr">
        <is>
          <t>Fatma Ali</t>
        </is>
      </c>
      <c r="E1030" t="n">
        <v>34</v>
      </c>
      <c r="F1030" t="n">
        <v>3417</v>
      </c>
      <c r="G1030" t="n">
        <v>3735</v>
      </c>
      <c r="H1030" s="23" t="n">
        <v>116178</v>
      </c>
      <c r="I1030" s="23" t="n">
        <v>126990</v>
      </c>
      <c r="J1030" t="inlineStr">
        <is>
          <t>Sep</t>
        </is>
      </c>
      <c r="K1030" t="n">
        <v>9</v>
      </c>
      <c r="L1030" t="inlineStr">
        <is>
          <t>Q3</t>
        </is>
      </c>
      <c r="M1030" t="n">
        <v>2024</v>
      </c>
      <c r="N1030" s="22" t="n">
        <v>45536</v>
      </c>
      <c r="O1030" s="24" t="n">
        <v>0.914859437751004</v>
      </c>
      <c r="P1030" s="23" t="n">
        <v>-10812</v>
      </c>
    </row>
    <row r="1031">
      <c r="A1031" t="inlineStr">
        <is>
          <t>Cataflam 25 MG</t>
        </is>
      </c>
      <c r="B1031" t="inlineStr">
        <is>
          <t>Cairo 1</t>
        </is>
      </c>
      <c r="C1031" s="22" t="n">
        <v>45566</v>
      </c>
      <c r="D1031" t="inlineStr">
        <is>
          <t>Fatma Ali</t>
        </is>
      </c>
      <c r="E1031" t="n">
        <v>34</v>
      </c>
      <c r="F1031" t="n">
        <v>3150</v>
      </c>
      <c r="G1031" t="n">
        <v>3571</v>
      </c>
      <c r="H1031" s="23" t="n">
        <v>107100</v>
      </c>
      <c r="I1031" s="23" t="n">
        <v>121414</v>
      </c>
      <c r="J1031" t="inlineStr">
        <is>
          <t>Oct</t>
        </is>
      </c>
      <c r="K1031" t="n">
        <v>10</v>
      </c>
      <c r="L1031" t="inlineStr">
        <is>
          <t>Q4</t>
        </is>
      </c>
      <c r="M1031" t="n">
        <v>2024</v>
      </c>
      <c r="N1031" s="22" t="n">
        <v>45566</v>
      </c>
      <c r="O1031" s="24" t="n">
        <v>0.8821058527023243</v>
      </c>
      <c r="P1031" s="23" t="n">
        <v>-14314</v>
      </c>
    </row>
    <row r="1032">
      <c r="A1032" t="inlineStr">
        <is>
          <t>Cataflam 25 MG</t>
        </is>
      </c>
      <c r="B1032" t="inlineStr">
        <is>
          <t>Cairo 1</t>
        </is>
      </c>
      <c r="C1032" s="22" t="n">
        <v>45597</v>
      </c>
      <c r="D1032" t="inlineStr">
        <is>
          <t>Fatma Ali</t>
        </is>
      </c>
      <c r="E1032" t="n">
        <v>34</v>
      </c>
      <c r="F1032" t="n">
        <v>3591</v>
      </c>
      <c r="G1032" t="n">
        <v>3302</v>
      </c>
      <c r="H1032" s="23" t="n">
        <v>122094</v>
      </c>
      <c r="I1032" s="23" t="n">
        <v>112268</v>
      </c>
      <c r="J1032" t="inlineStr">
        <is>
          <t>Nov</t>
        </is>
      </c>
      <c r="K1032" t="n">
        <v>11</v>
      </c>
      <c r="L1032" t="inlineStr">
        <is>
          <t>Q4</t>
        </is>
      </c>
      <c r="M1032" t="n">
        <v>2024</v>
      </c>
      <c r="N1032" s="22" t="n">
        <v>45597</v>
      </c>
      <c r="O1032" s="24" t="n">
        <v>1.087522713506965</v>
      </c>
      <c r="P1032" s="23" t="n">
        <v>9826</v>
      </c>
    </row>
    <row r="1033">
      <c r="A1033" t="inlineStr">
        <is>
          <t>Cataflam 25 MG</t>
        </is>
      </c>
      <c r="B1033" t="inlineStr">
        <is>
          <t>Cairo 1</t>
        </is>
      </c>
      <c r="C1033" s="22" t="n">
        <v>45627</v>
      </c>
      <c r="D1033" t="inlineStr">
        <is>
          <t>Fatma Ali</t>
        </is>
      </c>
      <c r="E1033" t="n">
        <v>34</v>
      </c>
      <c r="F1033" t="n">
        <v>3034</v>
      </c>
      <c r="G1033" t="n">
        <v>3523</v>
      </c>
      <c r="H1033" s="23" t="n">
        <v>103156</v>
      </c>
      <c r="I1033" s="23" t="n">
        <v>119782</v>
      </c>
      <c r="J1033" t="inlineStr">
        <is>
          <t>Dec</t>
        </is>
      </c>
      <c r="K1033" t="n">
        <v>12</v>
      </c>
      <c r="L1033" t="inlineStr">
        <is>
          <t>Q4</t>
        </is>
      </c>
      <c r="M1033" t="n">
        <v>2024</v>
      </c>
      <c r="N1033" s="22" t="n">
        <v>45627</v>
      </c>
      <c r="O1033" s="24" t="n">
        <v>0.8611978427476582</v>
      </c>
      <c r="P1033" s="23" t="n">
        <v>-16626</v>
      </c>
    </row>
    <row r="1034">
      <c r="A1034" t="inlineStr">
        <is>
          <t>Cataflam 25 MG</t>
        </is>
      </c>
      <c r="B1034" t="inlineStr">
        <is>
          <t>Cairo 2</t>
        </is>
      </c>
      <c r="C1034" s="22" t="n">
        <v>45292</v>
      </c>
      <c r="D1034" t="inlineStr">
        <is>
          <t>Hassan El-Shamy</t>
        </is>
      </c>
      <c r="E1034" t="n">
        <v>34</v>
      </c>
      <c r="F1034" t="n">
        <v>1983</v>
      </c>
      <c r="G1034" t="n">
        <v>2025</v>
      </c>
      <c r="H1034" s="23" t="n">
        <v>67422</v>
      </c>
      <c r="I1034" s="23" t="n">
        <v>68850</v>
      </c>
      <c r="J1034" t="inlineStr">
        <is>
          <t>Jan</t>
        </is>
      </c>
      <c r="K1034" t="n">
        <v>1</v>
      </c>
      <c r="L1034" t="inlineStr">
        <is>
          <t>Q1</t>
        </is>
      </c>
      <c r="M1034" t="n">
        <v>2024</v>
      </c>
      <c r="N1034" s="22" t="n">
        <v>45292</v>
      </c>
      <c r="O1034" s="24" t="n">
        <v>0.9792592592592593</v>
      </c>
      <c r="P1034" s="23" t="n">
        <v>-1428</v>
      </c>
    </row>
    <row r="1035">
      <c r="A1035" t="inlineStr">
        <is>
          <t>Cataflam 25 MG</t>
        </is>
      </c>
      <c r="B1035" t="inlineStr">
        <is>
          <t>Cairo 2</t>
        </is>
      </c>
      <c r="C1035" s="22" t="n">
        <v>45323</v>
      </c>
      <c r="D1035" t="inlineStr">
        <is>
          <t>Hassan El-Shamy</t>
        </is>
      </c>
      <c r="E1035" t="n">
        <v>34</v>
      </c>
      <c r="F1035" t="n">
        <v>2817</v>
      </c>
      <c r="G1035" t="n">
        <v>3185</v>
      </c>
      <c r="H1035" s="23" t="n">
        <v>95778</v>
      </c>
      <c r="I1035" s="23" t="n">
        <v>108290</v>
      </c>
      <c r="J1035" t="inlineStr">
        <is>
          <t>Feb</t>
        </is>
      </c>
      <c r="K1035" t="n">
        <v>2</v>
      </c>
      <c r="L1035" t="inlineStr">
        <is>
          <t>Q1</t>
        </is>
      </c>
      <c r="M1035" t="n">
        <v>2024</v>
      </c>
      <c r="N1035" s="22" t="n">
        <v>45323</v>
      </c>
      <c r="O1035" s="24" t="n">
        <v>0.884458398744113</v>
      </c>
      <c r="P1035" s="23" t="n">
        <v>-12512</v>
      </c>
    </row>
    <row r="1036">
      <c r="A1036" t="inlineStr">
        <is>
          <t>Cataflam 25 MG</t>
        </is>
      </c>
      <c r="B1036" t="inlineStr">
        <is>
          <t>Cairo 2</t>
        </is>
      </c>
      <c r="C1036" s="22" t="n">
        <v>45352</v>
      </c>
      <c r="D1036" t="inlineStr">
        <is>
          <t>Hassan El-Shamy</t>
        </is>
      </c>
      <c r="E1036" t="n">
        <v>34</v>
      </c>
      <c r="F1036" t="n">
        <v>3757</v>
      </c>
      <c r="G1036" t="n">
        <v>3644</v>
      </c>
      <c r="H1036" s="23" t="n">
        <v>127738</v>
      </c>
      <c r="I1036" s="23" t="n">
        <v>123896</v>
      </c>
      <c r="J1036" t="inlineStr">
        <is>
          <t>Mar</t>
        </is>
      </c>
      <c r="K1036" t="n">
        <v>3</v>
      </c>
      <c r="L1036" t="inlineStr">
        <is>
          <t>Q1</t>
        </is>
      </c>
      <c r="M1036" t="n">
        <v>2024</v>
      </c>
      <c r="N1036" s="22" t="n">
        <v>45352</v>
      </c>
      <c r="O1036" s="24" t="n">
        <v>1.031009879253568</v>
      </c>
      <c r="P1036" s="23" t="n">
        <v>3842</v>
      </c>
    </row>
    <row r="1037">
      <c r="A1037" t="inlineStr">
        <is>
          <t>Cataflam 25 MG</t>
        </is>
      </c>
      <c r="B1037" t="inlineStr">
        <is>
          <t>Cairo 2</t>
        </is>
      </c>
      <c r="C1037" s="22" t="n">
        <v>45383</v>
      </c>
      <c r="D1037" t="inlineStr">
        <is>
          <t>Hassan El-Shamy</t>
        </is>
      </c>
      <c r="E1037" t="n">
        <v>34</v>
      </c>
      <c r="F1037" t="n">
        <v>2469</v>
      </c>
      <c r="G1037" t="n">
        <v>2340</v>
      </c>
      <c r="H1037" s="23" t="n">
        <v>83946</v>
      </c>
      <c r="I1037" s="23" t="n">
        <v>79560</v>
      </c>
      <c r="J1037" t="inlineStr">
        <is>
          <t>Apr</t>
        </is>
      </c>
      <c r="K1037" t="n">
        <v>4</v>
      </c>
      <c r="L1037" t="inlineStr">
        <is>
          <t>Q2</t>
        </is>
      </c>
      <c r="M1037" t="n">
        <v>2024</v>
      </c>
      <c r="N1037" s="22" t="n">
        <v>45383</v>
      </c>
      <c r="O1037" s="24" t="n">
        <v>1.055128205128205</v>
      </c>
      <c r="P1037" s="23" t="n">
        <v>4386</v>
      </c>
    </row>
    <row r="1038">
      <c r="A1038" t="inlineStr">
        <is>
          <t>Cataflam 25 MG</t>
        </is>
      </c>
      <c r="B1038" t="inlineStr">
        <is>
          <t>Cairo 2</t>
        </is>
      </c>
      <c r="C1038" s="22" t="n">
        <v>45413</v>
      </c>
      <c r="D1038" t="inlineStr">
        <is>
          <t>Hassan El-Shamy</t>
        </is>
      </c>
      <c r="E1038" t="n">
        <v>34</v>
      </c>
      <c r="F1038" t="n">
        <v>3901</v>
      </c>
      <c r="G1038" t="n">
        <v>3727</v>
      </c>
      <c r="H1038" s="23" t="n">
        <v>132634</v>
      </c>
      <c r="I1038" s="23" t="n">
        <v>126718</v>
      </c>
      <c r="J1038" t="inlineStr">
        <is>
          <t>May</t>
        </is>
      </c>
      <c r="K1038" t="n">
        <v>5</v>
      </c>
      <c r="L1038" t="inlineStr">
        <is>
          <t>Q2</t>
        </is>
      </c>
      <c r="M1038" t="n">
        <v>2024</v>
      </c>
      <c r="N1038" s="22" t="n">
        <v>45413</v>
      </c>
      <c r="O1038" s="24" t="n">
        <v>1.046686342903139</v>
      </c>
      <c r="P1038" s="23" t="n">
        <v>5916</v>
      </c>
    </row>
    <row r="1039">
      <c r="A1039" t="inlineStr">
        <is>
          <t>Cataflam 25 MG</t>
        </is>
      </c>
      <c r="B1039" t="inlineStr">
        <is>
          <t>Cairo 2</t>
        </is>
      </c>
      <c r="C1039" s="22" t="n">
        <v>45444</v>
      </c>
      <c r="D1039" t="inlineStr">
        <is>
          <t>Hassan El-Shamy</t>
        </is>
      </c>
      <c r="E1039" t="n">
        <v>34</v>
      </c>
      <c r="F1039" t="n">
        <v>2695</v>
      </c>
      <c r="G1039" t="n">
        <v>2987</v>
      </c>
      <c r="H1039" s="23" t="n">
        <v>91630</v>
      </c>
      <c r="I1039" s="23" t="n">
        <v>101558</v>
      </c>
      <c r="J1039" t="inlineStr">
        <is>
          <t>Jun</t>
        </is>
      </c>
      <c r="K1039" t="n">
        <v>6</v>
      </c>
      <c r="L1039" t="inlineStr">
        <is>
          <t>Q2</t>
        </is>
      </c>
      <c r="M1039" t="n">
        <v>2024</v>
      </c>
      <c r="N1039" s="22" t="n">
        <v>45444</v>
      </c>
      <c r="O1039" s="24" t="n">
        <v>0.9022430532306662</v>
      </c>
      <c r="P1039" s="23" t="n">
        <v>-9928</v>
      </c>
    </row>
    <row r="1040">
      <c r="A1040" t="inlineStr">
        <is>
          <t>Cataflam 25 MG</t>
        </is>
      </c>
      <c r="B1040" t="inlineStr">
        <is>
          <t>Cairo 2</t>
        </is>
      </c>
      <c r="C1040" s="22" t="n">
        <v>45474</v>
      </c>
      <c r="D1040" t="inlineStr">
        <is>
          <t>Hassan El-Shamy</t>
        </is>
      </c>
      <c r="E1040" t="n">
        <v>34</v>
      </c>
      <c r="F1040" t="n">
        <v>3194</v>
      </c>
      <c r="G1040" t="n">
        <v>3682</v>
      </c>
      <c r="H1040" s="23" t="n">
        <v>108596</v>
      </c>
      <c r="I1040" s="23" t="n">
        <v>125188</v>
      </c>
      <c r="J1040" t="inlineStr">
        <is>
          <t>Jul</t>
        </is>
      </c>
      <c r="K1040" t="n">
        <v>7</v>
      </c>
      <c r="L1040" t="inlineStr">
        <is>
          <t>Q3</t>
        </is>
      </c>
      <c r="M1040" t="n">
        <v>2024</v>
      </c>
      <c r="N1040" s="22" t="n">
        <v>45474</v>
      </c>
      <c r="O1040" s="24" t="n">
        <v>0.8674633351439435</v>
      </c>
      <c r="P1040" s="23" t="n">
        <v>-16592</v>
      </c>
    </row>
    <row r="1041">
      <c r="A1041" t="inlineStr">
        <is>
          <t>Cataflam 25 MG</t>
        </is>
      </c>
      <c r="B1041" t="inlineStr">
        <is>
          <t>Cairo 2</t>
        </is>
      </c>
      <c r="C1041" s="22" t="n">
        <v>45505</v>
      </c>
      <c r="D1041" t="inlineStr">
        <is>
          <t>Hassan El-Shamy</t>
        </is>
      </c>
      <c r="E1041" t="n">
        <v>34</v>
      </c>
      <c r="F1041" t="n">
        <v>2775</v>
      </c>
      <c r="G1041" t="n">
        <v>2562</v>
      </c>
      <c r="H1041" s="23" t="n">
        <v>94350</v>
      </c>
      <c r="I1041" s="23" t="n">
        <v>87108</v>
      </c>
      <c r="J1041" t="inlineStr">
        <is>
          <t>Aug</t>
        </is>
      </c>
      <c r="K1041" t="n">
        <v>8</v>
      </c>
      <c r="L1041" t="inlineStr">
        <is>
          <t>Q3</t>
        </is>
      </c>
      <c r="M1041" t="n">
        <v>2024</v>
      </c>
      <c r="N1041" s="22" t="n">
        <v>45505</v>
      </c>
      <c r="O1041" s="24" t="n">
        <v>1.083138173302108</v>
      </c>
      <c r="P1041" s="23" t="n">
        <v>7242</v>
      </c>
    </row>
    <row r="1042">
      <c r="A1042" t="inlineStr">
        <is>
          <t>Cataflam 25 MG</t>
        </is>
      </c>
      <c r="B1042" t="inlineStr">
        <is>
          <t>Cairo 2</t>
        </is>
      </c>
      <c r="C1042" s="22" t="n">
        <v>45536</v>
      </c>
      <c r="D1042" t="inlineStr">
        <is>
          <t>Hassan El-Shamy</t>
        </is>
      </c>
      <c r="E1042" t="n">
        <v>34</v>
      </c>
      <c r="F1042" t="n">
        <v>2864</v>
      </c>
      <c r="G1042" t="n">
        <v>3334</v>
      </c>
      <c r="H1042" s="23" t="n">
        <v>97376</v>
      </c>
      <c r="I1042" s="23" t="n">
        <v>113356</v>
      </c>
      <c r="J1042" t="inlineStr">
        <is>
          <t>Sep</t>
        </is>
      </c>
      <c r="K1042" t="n">
        <v>9</v>
      </c>
      <c r="L1042" t="inlineStr">
        <is>
          <t>Q3</t>
        </is>
      </c>
      <c r="M1042" t="n">
        <v>2024</v>
      </c>
      <c r="N1042" s="22" t="n">
        <v>45536</v>
      </c>
      <c r="O1042" s="24" t="n">
        <v>0.8590281943611278</v>
      </c>
      <c r="P1042" s="23" t="n">
        <v>-15980</v>
      </c>
    </row>
    <row r="1043">
      <c r="A1043" t="inlineStr">
        <is>
          <t>Cataflam 25 MG</t>
        </is>
      </c>
      <c r="B1043" t="inlineStr">
        <is>
          <t>Cairo 2</t>
        </is>
      </c>
      <c r="C1043" s="22" t="n">
        <v>45566</v>
      </c>
      <c r="D1043" t="inlineStr">
        <is>
          <t>Hassan El-Shamy</t>
        </is>
      </c>
      <c r="E1043" t="n">
        <v>34</v>
      </c>
      <c r="F1043" t="n">
        <v>3400</v>
      </c>
      <c r="G1043" t="n">
        <v>3125</v>
      </c>
      <c r="H1043" s="23" t="n">
        <v>115600</v>
      </c>
      <c r="I1043" s="23" t="n">
        <v>106250</v>
      </c>
      <c r="J1043" t="inlineStr">
        <is>
          <t>Oct</t>
        </is>
      </c>
      <c r="K1043" t="n">
        <v>10</v>
      </c>
      <c r="L1043" t="inlineStr">
        <is>
          <t>Q4</t>
        </is>
      </c>
      <c r="M1043" t="n">
        <v>2024</v>
      </c>
      <c r="N1043" s="22" t="n">
        <v>45566</v>
      </c>
      <c r="O1043" s="24" t="n">
        <v>1.088</v>
      </c>
      <c r="P1043" s="23" t="n">
        <v>9350</v>
      </c>
    </row>
    <row r="1044">
      <c r="A1044" t="inlineStr">
        <is>
          <t>Cataflam 25 MG</t>
        </is>
      </c>
      <c r="B1044" t="inlineStr">
        <is>
          <t>Cairo 2</t>
        </is>
      </c>
      <c r="C1044" s="22" t="n">
        <v>45597</v>
      </c>
      <c r="D1044" t="inlineStr">
        <is>
          <t>Hassan El-Shamy</t>
        </is>
      </c>
      <c r="E1044" t="n">
        <v>34</v>
      </c>
      <c r="F1044" t="n">
        <v>2704</v>
      </c>
      <c r="G1044" t="n">
        <v>2678</v>
      </c>
      <c r="H1044" s="23" t="n">
        <v>91936</v>
      </c>
      <c r="I1044" s="23" t="n">
        <v>91052</v>
      </c>
      <c r="J1044" t="inlineStr">
        <is>
          <t>Nov</t>
        </is>
      </c>
      <c r="K1044" t="n">
        <v>11</v>
      </c>
      <c r="L1044" t="inlineStr">
        <is>
          <t>Q4</t>
        </is>
      </c>
      <c r="M1044" t="n">
        <v>2024</v>
      </c>
      <c r="N1044" s="22" t="n">
        <v>45597</v>
      </c>
      <c r="O1044" s="24" t="n">
        <v>1.009708737864078</v>
      </c>
      <c r="P1044" s="23" t="n">
        <v>884</v>
      </c>
    </row>
    <row r="1045">
      <c r="A1045" t="inlineStr">
        <is>
          <t>Cataflam 25 MG</t>
        </is>
      </c>
      <c r="B1045" t="inlineStr">
        <is>
          <t>Cairo 2</t>
        </is>
      </c>
      <c r="C1045" s="22" t="n">
        <v>45627</v>
      </c>
      <c r="D1045" t="inlineStr">
        <is>
          <t>Hassan El-Shamy</t>
        </is>
      </c>
      <c r="E1045" t="n">
        <v>34</v>
      </c>
      <c r="F1045" t="n">
        <v>2831</v>
      </c>
      <c r="G1045" t="n">
        <v>2816</v>
      </c>
      <c r="H1045" s="23" t="n">
        <v>96254</v>
      </c>
      <c r="I1045" s="23" t="n">
        <v>95744</v>
      </c>
      <c r="J1045" t="inlineStr">
        <is>
          <t>Dec</t>
        </is>
      </c>
      <c r="K1045" t="n">
        <v>12</v>
      </c>
      <c r="L1045" t="inlineStr">
        <is>
          <t>Q4</t>
        </is>
      </c>
      <c r="M1045" t="n">
        <v>2024</v>
      </c>
      <c r="N1045" s="22" t="n">
        <v>45627</v>
      </c>
      <c r="O1045" s="24" t="n">
        <v>1.005326704545455</v>
      </c>
      <c r="P1045" s="23" t="n">
        <v>510</v>
      </c>
    </row>
    <row r="1046">
      <c r="A1046" t="inlineStr">
        <is>
          <t>Cataflam 25 MG</t>
        </is>
      </c>
      <c r="B1046" t="inlineStr">
        <is>
          <t>Suez</t>
        </is>
      </c>
      <c r="C1046" s="22" t="n">
        <v>45292</v>
      </c>
      <c r="D1046" t="inlineStr">
        <is>
          <t>Mohamed Mahmoud</t>
        </is>
      </c>
      <c r="E1046" t="n">
        <v>34</v>
      </c>
      <c r="F1046" t="n">
        <v>2374</v>
      </c>
      <c r="G1046" t="n">
        <v>2249</v>
      </c>
      <c r="H1046" s="23" t="n">
        <v>80716</v>
      </c>
      <c r="I1046" s="23" t="n">
        <v>76466</v>
      </c>
      <c r="J1046" t="inlineStr">
        <is>
          <t>Jan</t>
        </is>
      </c>
      <c r="K1046" t="n">
        <v>1</v>
      </c>
      <c r="L1046" t="inlineStr">
        <is>
          <t>Q1</t>
        </is>
      </c>
      <c r="M1046" t="n">
        <v>2024</v>
      </c>
      <c r="N1046" s="22" t="n">
        <v>45292</v>
      </c>
      <c r="O1046" s="24" t="n">
        <v>1.055580257892397</v>
      </c>
      <c r="P1046" s="23" t="n">
        <v>4250</v>
      </c>
    </row>
    <row r="1047">
      <c r="A1047" t="inlineStr">
        <is>
          <t>Cataflam 25 MG</t>
        </is>
      </c>
      <c r="B1047" t="inlineStr">
        <is>
          <t>Suez</t>
        </is>
      </c>
      <c r="C1047" s="22" t="n">
        <v>45323</v>
      </c>
      <c r="D1047" t="inlineStr">
        <is>
          <t>Mohamed Mahmoud</t>
        </is>
      </c>
      <c r="E1047" t="n">
        <v>34</v>
      </c>
      <c r="F1047" t="n">
        <v>2524</v>
      </c>
      <c r="G1047" t="n">
        <v>2660</v>
      </c>
      <c r="H1047" s="23" t="n">
        <v>85816</v>
      </c>
      <c r="I1047" s="23" t="n">
        <v>90440</v>
      </c>
      <c r="J1047" t="inlineStr">
        <is>
          <t>Feb</t>
        </is>
      </c>
      <c r="K1047" t="n">
        <v>2</v>
      </c>
      <c r="L1047" t="inlineStr">
        <is>
          <t>Q1</t>
        </is>
      </c>
      <c r="M1047" t="n">
        <v>2024</v>
      </c>
      <c r="N1047" s="22" t="n">
        <v>45323</v>
      </c>
      <c r="O1047" s="24" t="n">
        <v>0.9488721804511279</v>
      </c>
      <c r="P1047" s="23" t="n">
        <v>-4624</v>
      </c>
    </row>
    <row r="1048">
      <c r="A1048" t="inlineStr">
        <is>
          <t>Cataflam 25 MG</t>
        </is>
      </c>
      <c r="B1048" t="inlineStr">
        <is>
          <t>Suez</t>
        </is>
      </c>
      <c r="C1048" s="22" t="n">
        <v>45352</v>
      </c>
      <c r="D1048" t="inlineStr">
        <is>
          <t>Mohamed Mahmoud</t>
        </is>
      </c>
      <c r="E1048" t="n">
        <v>34</v>
      </c>
      <c r="F1048" t="n">
        <v>2049</v>
      </c>
      <c r="G1048" t="n">
        <v>2055</v>
      </c>
      <c r="H1048" s="23" t="n">
        <v>69666</v>
      </c>
      <c r="I1048" s="23" t="n">
        <v>69870</v>
      </c>
      <c r="J1048" t="inlineStr">
        <is>
          <t>Mar</t>
        </is>
      </c>
      <c r="K1048" t="n">
        <v>3</v>
      </c>
      <c r="L1048" t="inlineStr">
        <is>
          <t>Q1</t>
        </is>
      </c>
      <c r="M1048" t="n">
        <v>2024</v>
      </c>
      <c r="N1048" s="22" t="n">
        <v>45352</v>
      </c>
      <c r="O1048" s="24" t="n">
        <v>0.9970802919708029</v>
      </c>
      <c r="P1048" s="23" t="n">
        <v>-204</v>
      </c>
    </row>
    <row r="1049">
      <c r="A1049" t="inlineStr">
        <is>
          <t>Cataflam 25 MG</t>
        </is>
      </c>
      <c r="B1049" t="inlineStr">
        <is>
          <t>Suez</t>
        </is>
      </c>
      <c r="C1049" s="22" t="n">
        <v>45383</v>
      </c>
      <c r="D1049" t="inlineStr">
        <is>
          <t>Mohamed Mahmoud</t>
        </is>
      </c>
      <c r="E1049" t="n">
        <v>34</v>
      </c>
      <c r="F1049" t="n">
        <v>3144</v>
      </c>
      <c r="G1049" t="n">
        <v>2890</v>
      </c>
      <c r="H1049" s="23" t="n">
        <v>106896</v>
      </c>
      <c r="I1049" s="23" t="n">
        <v>98260</v>
      </c>
      <c r="J1049" t="inlineStr">
        <is>
          <t>Apr</t>
        </is>
      </c>
      <c r="K1049" t="n">
        <v>4</v>
      </c>
      <c r="L1049" t="inlineStr">
        <is>
          <t>Q2</t>
        </is>
      </c>
      <c r="M1049" t="n">
        <v>2024</v>
      </c>
      <c r="N1049" s="22" t="n">
        <v>45383</v>
      </c>
      <c r="O1049" s="24" t="n">
        <v>1.087889273356401</v>
      </c>
      <c r="P1049" s="23" t="n">
        <v>8636</v>
      </c>
    </row>
    <row r="1050">
      <c r="A1050" t="inlineStr">
        <is>
          <t>Cataflam 25 MG</t>
        </is>
      </c>
      <c r="B1050" t="inlineStr">
        <is>
          <t>Suez</t>
        </is>
      </c>
      <c r="C1050" s="22" t="n">
        <v>45413</v>
      </c>
      <c r="D1050" t="inlineStr">
        <is>
          <t>Mohamed Mahmoud</t>
        </is>
      </c>
      <c r="E1050" t="n">
        <v>34</v>
      </c>
      <c r="F1050" t="n">
        <v>2221</v>
      </c>
      <c r="G1050" t="n">
        <v>2277</v>
      </c>
      <c r="H1050" s="23" t="n">
        <v>75514</v>
      </c>
      <c r="I1050" s="23" t="n">
        <v>77418</v>
      </c>
      <c r="J1050" t="inlineStr">
        <is>
          <t>May</t>
        </is>
      </c>
      <c r="K1050" t="n">
        <v>5</v>
      </c>
      <c r="L1050" t="inlineStr">
        <is>
          <t>Q2</t>
        </is>
      </c>
      <c r="M1050" t="n">
        <v>2024</v>
      </c>
      <c r="N1050" s="22" t="n">
        <v>45413</v>
      </c>
      <c r="O1050" s="24" t="n">
        <v>0.9754062362758015</v>
      </c>
      <c r="P1050" s="23" t="n">
        <v>-1904</v>
      </c>
    </row>
    <row r="1051">
      <c r="A1051" t="inlineStr">
        <is>
          <t>Cataflam 25 MG</t>
        </is>
      </c>
      <c r="B1051" t="inlineStr">
        <is>
          <t>Suez</t>
        </is>
      </c>
      <c r="C1051" s="22" t="n">
        <v>45444</v>
      </c>
      <c r="D1051" t="inlineStr">
        <is>
          <t>Mohamed Mahmoud</t>
        </is>
      </c>
      <c r="E1051" t="n">
        <v>34</v>
      </c>
      <c r="F1051" t="n">
        <v>3538</v>
      </c>
      <c r="G1051" t="n">
        <v>3808</v>
      </c>
      <c r="H1051" s="23" t="n">
        <v>120292</v>
      </c>
      <c r="I1051" s="23" t="n">
        <v>129472</v>
      </c>
      <c r="J1051" t="inlineStr">
        <is>
          <t>Jun</t>
        </is>
      </c>
      <c r="K1051" t="n">
        <v>6</v>
      </c>
      <c r="L1051" t="inlineStr">
        <is>
          <t>Q2</t>
        </is>
      </c>
      <c r="M1051" t="n">
        <v>2024</v>
      </c>
      <c r="N1051" s="22" t="n">
        <v>45444</v>
      </c>
      <c r="O1051" s="24" t="n">
        <v>0.9290966386554622</v>
      </c>
      <c r="P1051" s="23" t="n">
        <v>-9180</v>
      </c>
    </row>
    <row r="1052">
      <c r="A1052" t="inlineStr">
        <is>
          <t>Cataflam 25 MG</t>
        </is>
      </c>
      <c r="B1052" t="inlineStr">
        <is>
          <t>Suez</t>
        </is>
      </c>
      <c r="C1052" s="22" t="n">
        <v>45474</v>
      </c>
      <c r="D1052" t="inlineStr">
        <is>
          <t>Mohamed Mahmoud</t>
        </is>
      </c>
      <c r="E1052" t="n">
        <v>34</v>
      </c>
      <c r="F1052" t="n">
        <v>3271</v>
      </c>
      <c r="G1052" t="n">
        <v>3268</v>
      </c>
      <c r="H1052" s="23" t="n">
        <v>111214</v>
      </c>
      <c r="I1052" s="23" t="n">
        <v>111112</v>
      </c>
      <c r="J1052" t="inlineStr">
        <is>
          <t>Jul</t>
        </is>
      </c>
      <c r="K1052" t="n">
        <v>7</v>
      </c>
      <c r="L1052" t="inlineStr">
        <is>
          <t>Q3</t>
        </is>
      </c>
      <c r="M1052" t="n">
        <v>2024</v>
      </c>
      <c r="N1052" s="22" t="n">
        <v>45474</v>
      </c>
      <c r="O1052" s="24" t="n">
        <v>1.000917992656059</v>
      </c>
      <c r="P1052" s="23" t="n">
        <v>102</v>
      </c>
    </row>
    <row r="1053">
      <c r="A1053" t="inlineStr">
        <is>
          <t>Cataflam 25 MG</t>
        </is>
      </c>
      <c r="B1053" t="inlineStr">
        <is>
          <t>Suez</t>
        </is>
      </c>
      <c r="C1053" s="22" t="n">
        <v>45505</v>
      </c>
      <c r="D1053" t="inlineStr">
        <is>
          <t>Mohamed Mahmoud</t>
        </is>
      </c>
      <c r="E1053" t="n">
        <v>34</v>
      </c>
      <c r="F1053" t="n">
        <v>2806</v>
      </c>
      <c r="G1053" t="n">
        <v>2753</v>
      </c>
      <c r="H1053" s="23" t="n">
        <v>95404</v>
      </c>
      <c r="I1053" s="23" t="n">
        <v>93602</v>
      </c>
      <c r="J1053" t="inlineStr">
        <is>
          <t>Aug</t>
        </is>
      </c>
      <c r="K1053" t="n">
        <v>8</v>
      </c>
      <c r="L1053" t="inlineStr">
        <is>
          <t>Q3</t>
        </is>
      </c>
      <c r="M1053" t="n">
        <v>2024</v>
      </c>
      <c r="N1053" s="22" t="n">
        <v>45505</v>
      </c>
      <c r="O1053" s="24" t="n">
        <v>1.019251725390483</v>
      </c>
      <c r="P1053" s="23" t="n">
        <v>1802</v>
      </c>
    </row>
    <row r="1054">
      <c r="A1054" t="inlineStr">
        <is>
          <t>Cataflam 25 MG</t>
        </is>
      </c>
      <c r="B1054" t="inlineStr">
        <is>
          <t>Suez</t>
        </is>
      </c>
      <c r="C1054" s="22" t="n">
        <v>45536</v>
      </c>
      <c r="D1054" t="inlineStr">
        <is>
          <t>Mohamed Mahmoud</t>
        </is>
      </c>
      <c r="E1054" t="n">
        <v>34</v>
      </c>
      <c r="F1054" t="n">
        <v>3173</v>
      </c>
      <c r="G1054" t="n">
        <v>3698</v>
      </c>
      <c r="H1054" s="23" t="n">
        <v>107882</v>
      </c>
      <c r="I1054" s="23" t="n">
        <v>125732</v>
      </c>
      <c r="J1054" t="inlineStr">
        <is>
          <t>Sep</t>
        </is>
      </c>
      <c r="K1054" t="n">
        <v>9</v>
      </c>
      <c r="L1054" t="inlineStr">
        <is>
          <t>Q3</t>
        </is>
      </c>
      <c r="M1054" t="n">
        <v>2024</v>
      </c>
      <c r="N1054" s="22" t="n">
        <v>45536</v>
      </c>
      <c r="O1054" s="24" t="n">
        <v>0.8580313683071931</v>
      </c>
      <c r="P1054" s="23" t="n">
        <v>-17850</v>
      </c>
    </row>
    <row r="1055">
      <c r="A1055" t="inlineStr">
        <is>
          <t>Cataflam 25 MG</t>
        </is>
      </c>
      <c r="B1055" t="inlineStr">
        <is>
          <t>Suez</t>
        </is>
      </c>
      <c r="C1055" s="22" t="n">
        <v>45566</v>
      </c>
      <c r="D1055" t="inlineStr">
        <is>
          <t>Mohamed Mahmoud</t>
        </is>
      </c>
      <c r="E1055" t="n">
        <v>34</v>
      </c>
      <c r="F1055" t="n">
        <v>2145</v>
      </c>
      <c r="G1055" t="n">
        <v>2397</v>
      </c>
      <c r="H1055" s="23" t="n">
        <v>72930</v>
      </c>
      <c r="I1055" s="23" t="n">
        <v>81498</v>
      </c>
      <c r="J1055" t="inlineStr">
        <is>
          <t>Oct</t>
        </is>
      </c>
      <c r="K1055" t="n">
        <v>10</v>
      </c>
      <c r="L1055" t="inlineStr">
        <is>
          <t>Q4</t>
        </is>
      </c>
      <c r="M1055" t="n">
        <v>2024</v>
      </c>
      <c r="N1055" s="22" t="n">
        <v>45566</v>
      </c>
      <c r="O1055" s="24" t="n">
        <v>0.8948685857321652</v>
      </c>
      <c r="P1055" s="23" t="n">
        <v>-8568</v>
      </c>
    </row>
    <row r="1056">
      <c r="A1056" t="inlineStr">
        <is>
          <t>Cataflam 25 MG</t>
        </is>
      </c>
      <c r="B1056" t="inlineStr">
        <is>
          <t>Suez</t>
        </is>
      </c>
      <c r="C1056" s="22" t="n">
        <v>45597</v>
      </c>
      <c r="D1056" t="inlineStr">
        <is>
          <t>Mohamed Mahmoud</t>
        </is>
      </c>
      <c r="E1056" t="n">
        <v>34</v>
      </c>
      <c r="F1056" t="n">
        <v>2600</v>
      </c>
      <c r="G1056" t="n">
        <v>3806</v>
      </c>
      <c r="H1056" s="23" t="n">
        <v>88400</v>
      </c>
      <c r="I1056" s="23" t="n">
        <v>129404</v>
      </c>
      <c r="J1056" t="inlineStr">
        <is>
          <t>Nov</t>
        </is>
      </c>
      <c r="K1056" t="n">
        <v>11</v>
      </c>
      <c r="L1056" t="inlineStr">
        <is>
          <t>Q4</t>
        </is>
      </c>
      <c r="M1056" t="n">
        <v>2024</v>
      </c>
      <c r="N1056" s="22" t="n">
        <v>45597</v>
      </c>
      <c r="O1056" s="24" t="n">
        <v>0.6831318970047294</v>
      </c>
      <c r="P1056" s="23" t="n">
        <v>-41004</v>
      </c>
    </row>
    <row r="1057">
      <c r="A1057" t="inlineStr">
        <is>
          <t>Cataflam 25 MG</t>
        </is>
      </c>
      <c r="B1057" t="inlineStr">
        <is>
          <t>Suez</t>
        </is>
      </c>
      <c r="C1057" s="22" t="n">
        <v>45627</v>
      </c>
      <c r="D1057" t="inlineStr">
        <is>
          <t>Mohamed Mahmoud</t>
        </is>
      </c>
      <c r="E1057" t="n">
        <v>34</v>
      </c>
      <c r="F1057" t="n">
        <v>2529</v>
      </c>
      <c r="G1057" t="n">
        <v>2881</v>
      </c>
      <c r="H1057" s="23" t="n">
        <v>85986</v>
      </c>
      <c r="I1057" s="23" t="n">
        <v>97954</v>
      </c>
      <c r="J1057" t="inlineStr">
        <is>
          <t>Dec</t>
        </is>
      </c>
      <c r="K1057" t="n">
        <v>12</v>
      </c>
      <c r="L1057" t="inlineStr">
        <is>
          <t>Q4</t>
        </is>
      </c>
      <c r="M1057" t="n">
        <v>2024</v>
      </c>
      <c r="N1057" s="22" t="n">
        <v>45627</v>
      </c>
      <c r="O1057" s="24" t="n">
        <v>0.8778202013189864</v>
      </c>
      <c r="P1057" s="23" t="n">
        <v>-11968</v>
      </c>
    </row>
    <row r="1058">
      <c r="A1058" t="inlineStr">
        <is>
          <t>Cataflam 25 MG</t>
        </is>
      </c>
      <c r="B1058" t="inlineStr">
        <is>
          <t>Dakahlia 1</t>
        </is>
      </c>
      <c r="C1058" s="22" t="n">
        <v>45292</v>
      </c>
      <c r="D1058" t="inlineStr">
        <is>
          <t>Nour El-Din</t>
        </is>
      </c>
      <c r="E1058" t="n">
        <v>34</v>
      </c>
      <c r="F1058" t="n">
        <v>2400</v>
      </c>
      <c r="G1058" t="n">
        <v>3125</v>
      </c>
      <c r="H1058" s="23" t="n">
        <v>81600</v>
      </c>
      <c r="I1058" s="23" t="n">
        <v>106250</v>
      </c>
      <c r="J1058" t="inlineStr">
        <is>
          <t>Jan</t>
        </is>
      </c>
      <c r="K1058" t="n">
        <v>1</v>
      </c>
      <c r="L1058" t="inlineStr">
        <is>
          <t>Q1</t>
        </is>
      </c>
      <c r="M1058" t="n">
        <v>2024</v>
      </c>
      <c r="N1058" s="22" t="n">
        <v>45292</v>
      </c>
      <c r="O1058" s="24" t="n">
        <v>0.768</v>
      </c>
      <c r="P1058" s="23" t="n">
        <v>-24650</v>
      </c>
    </row>
    <row r="1059">
      <c r="A1059" t="inlineStr">
        <is>
          <t>Cataflam 25 MG</t>
        </is>
      </c>
      <c r="B1059" t="inlineStr">
        <is>
          <t>Dakahlia 1</t>
        </is>
      </c>
      <c r="C1059" s="22" t="n">
        <v>45323</v>
      </c>
      <c r="D1059" t="inlineStr">
        <is>
          <t>Nour El-Din</t>
        </is>
      </c>
      <c r="E1059" t="n">
        <v>34</v>
      </c>
      <c r="F1059" t="n">
        <v>3270</v>
      </c>
      <c r="G1059" t="n">
        <v>3462</v>
      </c>
      <c r="H1059" s="23" t="n">
        <v>111180</v>
      </c>
      <c r="I1059" s="23" t="n">
        <v>117708</v>
      </c>
      <c r="J1059" t="inlineStr">
        <is>
          <t>Feb</t>
        </is>
      </c>
      <c r="K1059" t="n">
        <v>2</v>
      </c>
      <c r="L1059" t="inlineStr">
        <is>
          <t>Q1</t>
        </is>
      </c>
      <c r="M1059" t="n">
        <v>2024</v>
      </c>
      <c r="N1059" s="22" t="n">
        <v>45323</v>
      </c>
      <c r="O1059" s="24" t="n">
        <v>0.9445407279029463</v>
      </c>
      <c r="P1059" s="23" t="n">
        <v>-6528</v>
      </c>
    </row>
    <row r="1060">
      <c r="A1060" t="inlineStr">
        <is>
          <t>Cataflam 25 MG</t>
        </is>
      </c>
      <c r="B1060" t="inlineStr">
        <is>
          <t>Dakahlia 1</t>
        </is>
      </c>
      <c r="C1060" s="22" t="n">
        <v>45352</v>
      </c>
      <c r="D1060" t="inlineStr">
        <is>
          <t>Nour El-Din</t>
        </is>
      </c>
      <c r="E1060" t="n">
        <v>34</v>
      </c>
      <c r="F1060" t="n">
        <v>3085</v>
      </c>
      <c r="G1060" t="n">
        <v>3352</v>
      </c>
      <c r="H1060" s="23" t="n">
        <v>104890</v>
      </c>
      <c r="I1060" s="23" t="n">
        <v>113968</v>
      </c>
      <c r="J1060" t="inlineStr">
        <is>
          <t>Mar</t>
        </is>
      </c>
      <c r="K1060" t="n">
        <v>3</v>
      </c>
      <c r="L1060" t="inlineStr">
        <is>
          <t>Q1</t>
        </is>
      </c>
      <c r="M1060" t="n">
        <v>2024</v>
      </c>
      <c r="N1060" s="22" t="n">
        <v>45352</v>
      </c>
      <c r="O1060" s="24" t="n">
        <v>0.920346062052506</v>
      </c>
      <c r="P1060" s="23" t="n">
        <v>-9078</v>
      </c>
    </row>
    <row r="1061">
      <c r="A1061" t="inlineStr">
        <is>
          <t>Cataflam 25 MG</t>
        </is>
      </c>
      <c r="B1061" t="inlineStr">
        <is>
          <t>Dakahlia 1</t>
        </is>
      </c>
      <c r="C1061" s="22" t="n">
        <v>45383</v>
      </c>
      <c r="D1061" t="inlineStr">
        <is>
          <t>Nour El-Din</t>
        </is>
      </c>
      <c r="E1061" t="n">
        <v>34</v>
      </c>
      <c r="F1061" t="n">
        <v>3537</v>
      </c>
      <c r="G1061" t="n">
        <v>3628</v>
      </c>
      <c r="H1061" s="23" t="n">
        <v>120258</v>
      </c>
      <c r="I1061" s="23" t="n">
        <v>123352</v>
      </c>
      <c r="J1061" t="inlineStr">
        <is>
          <t>Apr</t>
        </is>
      </c>
      <c r="K1061" t="n">
        <v>4</v>
      </c>
      <c r="L1061" t="inlineStr">
        <is>
          <t>Q2</t>
        </is>
      </c>
      <c r="M1061" t="n">
        <v>2024</v>
      </c>
      <c r="N1061" s="22" t="n">
        <v>45383</v>
      </c>
      <c r="O1061" s="24" t="n">
        <v>0.9749173098125689</v>
      </c>
      <c r="P1061" s="23" t="n">
        <v>-3094</v>
      </c>
    </row>
    <row r="1062">
      <c r="A1062" t="inlineStr">
        <is>
          <t>Cataflam 25 MG</t>
        </is>
      </c>
      <c r="B1062" t="inlineStr">
        <is>
          <t>Dakahlia 1</t>
        </is>
      </c>
      <c r="C1062" s="22" t="n">
        <v>45413</v>
      </c>
      <c r="D1062" t="inlineStr">
        <is>
          <t>Nour El-Din</t>
        </is>
      </c>
      <c r="E1062" t="n">
        <v>34</v>
      </c>
      <c r="F1062" t="n">
        <v>2284</v>
      </c>
      <c r="G1062" t="n">
        <v>2375</v>
      </c>
      <c r="H1062" s="23" t="n">
        <v>77656</v>
      </c>
      <c r="I1062" s="23" t="n">
        <v>80750</v>
      </c>
      <c r="J1062" t="inlineStr">
        <is>
          <t>May</t>
        </is>
      </c>
      <c r="K1062" t="n">
        <v>5</v>
      </c>
      <c r="L1062" t="inlineStr">
        <is>
          <t>Q2</t>
        </is>
      </c>
      <c r="M1062" t="n">
        <v>2024</v>
      </c>
      <c r="N1062" s="22" t="n">
        <v>45413</v>
      </c>
      <c r="O1062" s="24" t="n">
        <v>0.9616842105263158</v>
      </c>
      <c r="P1062" s="23" t="n">
        <v>-3094</v>
      </c>
    </row>
    <row r="1063">
      <c r="A1063" t="inlineStr">
        <is>
          <t>Cataflam 25 MG</t>
        </is>
      </c>
      <c r="B1063" t="inlineStr">
        <is>
          <t>Dakahlia 1</t>
        </is>
      </c>
      <c r="C1063" s="22" t="n">
        <v>45444</v>
      </c>
      <c r="D1063" t="inlineStr">
        <is>
          <t>Nour El-Din</t>
        </is>
      </c>
      <c r="E1063" t="n">
        <v>34</v>
      </c>
      <c r="F1063" t="n">
        <v>1818</v>
      </c>
      <c r="G1063" t="n">
        <v>2088</v>
      </c>
      <c r="H1063" s="23" t="n">
        <v>61812</v>
      </c>
      <c r="I1063" s="23" t="n">
        <v>70992</v>
      </c>
      <c r="J1063" t="inlineStr">
        <is>
          <t>Jun</t>
        </is>
      </c>
      <c r="K1063" t="n">
        <v>6</v>
      </c>
      <c r="L1063" t="inlineStr">
        <is>
          <t>Q2</t>
        </is>
      </c>
      <c r="M1063" t="n">
        <v>2024</v>
      </c>
      <c r="N1063" s="22" t="n">
        <v>45444</v>
      </c>
      <c r="O1063" s="24" t="n">
        <v>0.8706896551724138</v>
      </c>
      <c r="P1063" s="23" t="n">
        <v>-9180</v>
      </c>
    </row>
    <row r="1064">
      <c r="A1064" t="inlineStr">
        <is>
          <t>Cataflam 25 MG</t>
        </is>
      </c>
      <c r="B1064" t="inlineStr">
        <is>
          <t>Dakahlia 1</t>
        </is>
      </c>
      <c r="C1064" s="22" t="n">
        <v>45474</v>
      </c>
      <c r="D1064" t="inlineStr">
        <is>
          <t>Nour El-Din</t>
        </is>
      </c>
      <c r="E1064" t="n">
        <v>34</v>
      </c>
      <c r="F1064" t="n">
        <v>2366</v>
      </c>
      <c r="G1064" t="n">
        <v>2324</v>
      </c>
      <c r="H1064" s="23" t="n">
        <v>80444</v>
      </c>
      <c r="I1064" s="23" t="n">
        <v>79016</v>
      </c>
      <c r="J1064" t="inlineStr">
        <is>
          <t>Jul</t>
        </is>
      </c>
      <c r="K1064" t="n">
        <v>7</v>
      </c>
      <c r="L1064" t="inlineStr">
        <is>
          <t>Q3</t>
        </is>
      </c>
      <c r="M1064" t="n">
        <v>2024</v>
      </c>
      <c r="N1064" s="22" t="n">
        <v>45474</v>
      </c>
      <c r="O1064" s="24" t="n">
        <v>1.018072289156627</v>
      </c>
      <c r="P1064" s="23" t="n">
        <v>1428</v>
      </c>
    </row>
    <row r="1065">
      <c r="A1065" t="inlineStr">
        <is>
          <t>Cataflam 25 MG</t>
        </is>
      </c>
      <c r="B1065" t="inlineStr">
        <is>
          <t>Dakahlia 1</t>
        </is>
      </c>
      <c r="C1065" s="22" t="n">
        <v>45505</v>
      </c>
      <c r="D1065" t="inlineStr">
        <is>
          <t>Nour El-Din</t>
        </is>
      </c>
      <c r="E1065" t="n">
        <v>34</v>
      </c>
      <c r="F1065" t="n">
        <v>3295</v>
      </c>
      <c r="G1065" t="n">
        <v>3542</v>
      </c>
      <c r="H1065" s="23" t="n">
        <v>112030</v>
      </c>
      <c r="I1065" s="23" t="n">
        <v>120428</v>
      </c>
      <c r="J1065" t="inlineStr">
        <is>
          <t>Aug</t>
        </is>
      </c>
      <c r="K1065" t="n">
        <v>8</v>
      </c>
      <c r="L1065" t="inlineStr">
        <is>
          <t>Q3</t>
        </is>
      </c>
      <c r="M1065" t="n">
        <v>2024</v>
      </c>
      <c r="N1065" s="22" t="n">
        <v>45505</v>
      </c>
      <c r="O1065" s="24" t="n">
        <v>0.9302653867871259</v>
      </c>
      <c r="P1065" s="23" t="n">
        <v>-8398</v>
      </c>
    </row>
    <row r="1066">
      <c r="A1066" t="inlineStr">
        <is>
          <t>Cataflam 25 MG</t>
        </is>
      </c>
      <c r="B1066" t="inlineStr">
        <is>
          <t>Dakahlia 1</t>
        </is>
      </c>
      <c r="C1066" s="22" t="n">
        <v>45536</v>
      </c>
      <c r="D1066" t="inlineStr">
        <is>
          <t>Nour El-Din</t>
        </is>
      </c>
      <c r="E1066" t="n">
        <v>34</v>
      </c>
      <c r="F1066" t="n">
        <v>3500</v>
      </c>
      <c r="G1066" t="n">
        <v>2600</v>
      </c>
      <c r="H1066" s="23" t="n">
        <v>119000</v>
      </c>
      <c r="I1066" s="23" t="n">
        <v>88400</v>
      </c>
      <c r="J1066" t="inlineStr">
        <is>
          <t>Sep</t>
        </is>
      </c>
      <c r="K1066" t="n">
        <v>9</v>
      </c>
      <c r="L1066" t="inlineStr">
        <is>
          <t>Q3</t>
        </is>
      </c>
      <c r="M1066" t="n">
        <v>2024</v>
      </c>
      <c r="N1066" s="22" t="n">
        <v>45536</v>
      </c>
      <c r="O1066" s="24" t="n">
        <v>1.346153846153846</v>
      </c>
      <c r="P1066" s="23" t="n">
        <v>30600</v>
      </c>
    </row>
    <row r="1067">
      <c r="A1067" t="inlineStr">
        <is>
          <t>Cataflam 25 MG</t>
        </is>
      </c>
      <c r="B1067" t="inlineStr">
        <is>
          <t>Dakahlia 1</t>
        </is>
      </c>
      <c r="C1067" s="22" t="n">
        <v>45566</v>
      </c>
      <c r="D1067" t="inlineStr">
        <is>
          <t>Nour El-Din</t>
        </is>
      </c>
      <c r="E1067" t="n">
        <v>34</v>
      </c>
      <c r="F1067" t="n">
        <v>3206</v>
      </c>
      <c r="G1067" t="n">
        <v>2946</v>
      </c>
      <c r="H1067" s="23" t="n">
        <v>109004</v>
      </c>
      <c r="I1067" s="23" t="n">
        <v>100164</v>
      </c>
      <c r="J1067" t="inlineStr">
        <is>
          <t>Oct</t>
        </is>
      </c>
      <c r="K1067" t="n">
        <v>10</v>
      </c>
      <c r="L1067" t="inlineStr">
        <is>
          <t>Q4</t>
        </is>
      </c>
      <c r="M1067" t="n">
        <v>2024</v>
      </c>
      <c r="N1067" s="22" t="n">
        <v>45566</v>
      </c>
      <c r="O1067" s="24" t="n">
        <v>1.088255261371351</v>
      </c>
      <c r="P1067" s="23" t="n">
        <v>8840</v>
      </c>
    </row>
    <row r="1068">
      <c r="A1068" t="inlineStr">
        <is>
          <t>Cataflam 25 MG</t>
        </is>
      </c>
      <c r="B1068" t="inlineStr">
        <is>
          <t>Dakahlia 1</t>
        </is>
      </c>
      <c r="C1068" s="22" t="n">
        <v>45597</v>
      </c>
      <c r="D1068" t="inlineStr">
        <is>
          <t>Nour El-Din</t>
        </is>
      </c>
      <c r="E1068" t="n">
        <v>34</v>
      </c>
      <c r="F1068" t="n">
        <v>3354</v>
      </c>
      <c r="G1068" t="n">
        <v>3058</v>
      </c>
      <c r="H1068" s="23" t="n">
        <v>114036</v>
      </c>
      <c r="I1068" s="23" t="n">
        <v>103972</v>
      </c>
      <c r="J1068" t="inlineStr">
        <is>
          <t>Nov</t>
        </is>
      </c>
      <c r="K1068" t="n">
        <v>11</v>
      </c>
      <c r="L1068" t="inlineStr">
        <is>
          <t>Q4</t>
        </is>
      </c>
      <c r="M1068" t="n">
        <v>2024</v>
      </c>
      <c r="N1068" s="22" t="n">
        <v>45597</v>
      </c>
      <c r="O1068" s="24" t="n">
        <v>1.096795291039895</v>
      </c>
      <c r="P1068" s="23" t="n">
        <v>10064</v>
      </c>
    </row>
    <row r="1069">
      <c r="A1069" t="inlineStr">
        <is>
          <t>Cataflam 25 MG</t>
        </is>
      </c>
      <c r="B1069" t="inlineStr">
        <is>
          <t>Dakahlia 1</t>
        </is>
      </c>
      <c r="C1069" s="22" t="n">
        <v>45627</v>
      </c>
      <c r="D1069" t="inlineStr">
        <is>
          <t>Nour El-Din</t>
        </is>
      </c>
      <c r="E1069" t="n">
        <v>34</v>
      </c>
      <c r="F1069" t="n">
        <v>3402</v>
      </c>
      <c r="G1069" t="n">
        <v>3722</v>
      </c>
      <c r="H1069" s="23" t="n">
        <v>115668</v>
      </c>
      <c r="I1069" s="23" t="n">
        <v>126548</v>
      </c>
      <c r="J1069" t="inlineStr">
        <is>
          <t>Dec</t>
        </is>
      </c>
      <c r="K1069" t="n">
        <v>12</v>
      </c>
      <c r="L1069" t="inlineStr">
        <is>
          <t>Q4</t>
        </is>
      </c>
      <c r="M1069" t="n">
        <v>2024</v>
      </c>
      <c r="N1069" s="22" t="n">
        <v>45627</v>
      </c>
      <c r="O1069" s="24" t="n">
        <v>0.9140247178936056</v>
      </c>
      <c r="P1069" s="23" t="n">
        <v>-10880</v>
      </c>
    </row>
    <row r="1070">
      <c r="A1070" t="inlineStr">
        <is>
          <t>Cataflam 25 MG</t>
        </is>
      </c>
      <c r="B1070" t="inlineStr">
        <is>
          <t>Dakahlia 2</t>
        </is>
      </c>
      <c r="C1070" s="22" t="n">
        <v>45292</v>
      </c>
      <c r="D1070" t="inlineStr">
        <is>
          <t>Omar Khaled</t>
        </is>
      </c>
      <c r="E1070" t="n">
        <v>34</v>
      </c>
      <c r="F1070" t="n">
        <v>2069</v>
      </c>
      <c r="G1070" t="n">
        <v>2150</v>
      </c>
      <c r="H1070" s="23" t="n">
        <v>70346</v>
      </c>
      <c r="I1070" s="23" t="n">
        <v>73100</v>
      </c>
      <c r="J1070" t="inlineStr">
        <is>
          <t>Jan</t>
        </is>
      </c>
      <c r="K1070" t="n">
        <v>1</v>
      </c>
      <c r="L1070" t="inlineStr">
        <is>
          <t>Q1</t>
        </is>
      </c>
      <c r="M1070" t="n">
        <v>2024</v>
      </c>
      <c r="N1070" s="22" t="n">
        <v>45292</v>
      </c>
      <c r="O1070" s="24" t="n">
        <v>0.9623255813953489</v>
      </c>
      <c r="P1070" s="23" t="n">
        <v>-2754</v>
      </c>
    </row>
    <row r="1071">
      <c r="A1071" t="inlineStr">
        <is>
          <t>Cataflam 25 MG</t>
        </is>
      </c>
      <c r="B1071" t="inlineStr">
        <is>
          <t>Dakahlia 2</t>
        </is>
      </c>
      <c r="C1071" s="22" t="n">
        <v>45323</v>
      </c>
      <c r="D1071" t="inlineStr">
        <is>
          <t>Omar Khaled</t>
        </is>
      </c>
      <c r="E1071" t="n">
        <v>34</v>
      </c>
      <c r="F1071" t="n">
        <v>2411</v>
      </c>
      <c r="G1071" t="n">
        <v>2427</v>
      </c>
      <c r="H1071" s="23" t="n">
        <v>81974</v>
      </c>
      <c r="I1071" s="23" t="n">
        <v>82518</v>
      </c>
      <c r="J1071" t="inlineStr">
        <is>
          <t>Feb</t>
        </is>
      </c>
      <c r="K1071" t="n">
        <v>2</v>
      </c>
      <c r="L1071" t="inlineStr">
        <is>
          <t>Q1</t>
        </is>
      </c>
      <c r="M1071" t="n">
        <v>2024</v>
      </c>
      <c r="N1071" s="22" t="n">
        <v>45323</v>
      </c>
      <c r="O1071" s="24" t="n">
        <v>0.9934074989699218</v>
      </c>
      <c r="P1071" s="23" t="n">
        <v>-544</v>
      </c>
    </row>
    <row r="1072">
      <c r="A1072" t="inlineStr">
        <is>
          <t>Cataflam 25 MG</t>
        </is>
      </c>
      <c r="B1072" t="inlineStr">
        <is>
          <t>Dakahlia 2</t>
        </is>
      </c>
      <c r="C1072" s="22" t="n">
        <v>45352</v>
      </c>
      <c r="D1072" t="inlineStr">
        <is>
          <t>Omar Khaled</t>
        </is>
      </c>
      <c r="E1072" t="n">
        <v>34</v>
      </c>
      <c r="F1072" t="n">
        <v>2587</v>
      </c>
      <c r="G1072" t="n">
        <v>2603</v>
      </c>
      <c r="H1072" s="23" t="n">
        <v>87958</v>
      </c>
      <c r="I1072" s="23" t="n">
        <v>88502</v>
      </c>
      <c r="J1072" t="inlineStr">
        <is>
          <t>Mar</t>
        </is>
      </c>
      <c r="K1072" t="n">
        <v>3</v>
      </c>
      <c r="L1072" t="inlineStr">
        <is>
          <t>Q1</t>
        </is>
      </c>
      <c r="M1072" t="n">
        <v>2024</v>
      </c>
      <c r="N1072" s="22" t="n">
        <v>45352</v>
      </c>
      <c r="O1072" s="24" t="n">
        <v>0.9938532462543219</v>
      </c>
      <c r="P1072" s="23" t="n">
        <v>-544</v>
      </c>
    </row>
    <row r="1073">
      <c r="A1073" t="inlineStr">
        <is>
          <t>Cataflam 25 MG</t>
        </is>
      </c>
      <c r="B1073" t="inlineStr">
        <is>
          <t>Dakahlia 2</t>
        </is>
      </c>
      <c r="C1073" s="22" t="n">
        <v>45383</v>
      </c>
      <c r="D1073" t="inlineStr">
        <is>
          <t>Omar Khaled</t>
        </is>
      </c>
      <c r="E1073" t="n">
        <v>34</v>
      </c>
      <c r="F1073" t="n">
        <v>3361</v>
      </c>
      <c r="G1073" t="n">
        <v>3676</v>
      </c>
      <c r="H1073" s="23" t="n">
        <v>114274</v>
      </c>
      <c r="I1073" s="23" t="n">
        <v>124984</v>
      </c>
      <c r="J1073" t="inlineStr">
        <is>
          <t>Apr</t>
        </is>
      </c>
      <c r="K1073" t="n">
        <v>4</v>
      </c>
      <c r="L1073" t="inlineStr">
        <is>
          <t>Q2</t>
        </is>
      </c>
      <c r="M1073" t="n">
        <v>2024</v>
      </c>
      <c r="N1073" s="22" t="n">
        <v>45383</v>
      </c>
      <c r="O1073" s="24" t="n">
        <v>0.9143090315560392</v>
      </c>
      <c r="P1073" s="23" t="n">
        <v>-10710</v>
      </c>
    </row>
    <row r="1074">
      <c r="A1074" t="inlineStr">
        <is>
          <t>Cataflam 25 MG</t>
        </is>
      </c>
      <c r="B1074" t="inlineStr">
        <is>
          <t>Dakahlia 2</t>
        </is>
      </c>
      <c r="C1074" s="22" t="n">
        <v>45413</v>
      </c>
      <c r="D1074" t="inlineStr">
        <is>
          <t>Omar Khaled</t>
        </is>
      </c>
      <c r="E1074" t="n">
        <v>34</v>
      </c>
      <c r="F1074" t="n">
        <v>2852</v>
      </c>
      <c r="G1074" t="n">
        <v>2982</v>
      </c>
      <c r="H1074" s="23" t="n">
        <v>96968</v>
      </c>
      <c r="I1074" s="23" t="n">
        <v>101388</v>
      </c>
      <c r="J1074" t="inlineStr">
        <is>
          <t>May</t>
        </is>
      </c>
      <c r="K1074" t="n">
        <v>5</v>
      </c>
      <c r="L1074" t="inlineStr">
        <is>
          <t>Q2</t>
        </is>
      </c>
      <c r="M1074" t="n">
        <v>2024</v>
      </c>
      <c r="N1074" s="22" t="n">
        <v>45413</v>
      </c>
      <c r="O1074" s="24" t="n">
        <v>0.9564050972501676</v>
      </c>
      <c r="P1074" s="23" t="n">
        <v>-4420</v>
      </c>
    </row>
    <row r="1075">
      <c r="A1075" t="inlineStr">
        <is>
          <t>Cataflam 25 MG</t>
        </is>
      </c>
      <c r="B1075" t="inlineStr">
        <is>
          <t>Dakahlia 2</t>
        </is>
      </c>
      <c r="C1075" s="22" t="n">
        <v>45444</v>
      </c>
      <c r="D1075" t="inlineStr">
        <is>
          <t>Omar Khaled</t>
        </is>
      </c>
      <c r="E1075" t="n">
        <v>34</v>
      </c>
      <c r="F1075" t="n">
        <v>2284</v>
      </c>
      <c r="G1075" t="n">
        <v>2551</v>
      </c>
      <c r="H1075" s="23" t="n">
        <v>77656</v>
      </c>
      <c r="I1075" s="23" t="n">
        <v>86734</v>
      </c>
      <c r="J1075" t="inlineStr">
        <is>
          <t>Jun</t>
        </is>
      </c>
      <c r="K1075" t="n">
        <v>6</v>
      </c>
      <c r="L1075" t="inlineStr">
        <is>
          <t>Q2</t>
        </is>
      </c>
      <c r="M1075" t="n">
        <v>2024</v>
      </c>
      <c r="N1075" s="22" t="n">
        <v>45444</v>
      </c>
      <c r="O1075" s="24" t="n">
        <v>0.8953351626813014</v>
      </c>
      <c r="P1075" s="23" t="n">
        <v>-9078</v>
      </c>
    </row>
    <row r="1076">
      <c r="A1076" t="inlineStr">
        <is>
          <t>Cataflam 25 MG</t>
        </is>
      </c>
      <c r="B1076" t="inlineStr">
        <is>
          <t>Dakahlia 2</t>
        </is>
      </c>
      <c r="C1076" s="22" t="n">
        <v>45474</v>
      </c>
      <c r="D1076" t="inlineStr">
        <is>
          <t>Omar Khaled</t>
        </is>
      </c>
      <c r="E1076" t="n">
        <v>34</v>
      </c>
      <c r="F1076" t="n">
        <v>2023</v>
      </c>
      <c r="G1076" t="n">
        <v>2210</v>
      </c>
      <c r="H1076" s="23" t="n">
        <v>68782</v>
      </c>
      <c r="I1076" s="23" t="n">
        <v>75140</v>
      </c>
      <c r="J1076" t="inlineStr">
        <is>
          <t>Jul</t>
        </is>
      </c>
      <c r="K1076" t="n">
        <v>7</v>
      </c>
      <c r="L1076" t="inlineStr">
        <is>
          <t>Q3</t>
        </is>
      </c>
      <c r="M1076" t="n">
        <v>2024</v>
      </c>
      <c r="N1076" s="22" t="n">
        <v>45474</v>
      </c>
      <c r="O1076" s="24" t="n">
        <v>0.9153846153846154</v>
      </c>
      <c r="P1076" s="23" t="n">
        <v>-6358</v>
      </c>
    </row>
    <row r="1077">
      <c r="A1077" t="inlineStr">
        <is>
          <t>Cataflam 25 MG</t>
        </is>
      </c>
      <c r="B1077" t="inlineStr">
        <is>
          <t>Dakahlia 2</t>
        </is>
      </c>
      <c r="C1077" s="22" t="n">
        <v>45505</v>
      </c>
      <c r="D1077" t="inlineStr">
        <is>
          <t>Omar Khaled</t>
        </is>
      </c>
      <c r="E1077" t="n">
        <v>34</v>
      </c>
      <c r="F1077" t="n">
        <v>3758</v>
      </c>
      <c r="G1077" t="n">
        <v>3400</v>
      </c>
      <c r="H1077" s="23" t="n">
        <v>127772</v>
      </c>
      <c r="I1077" s="23" t="n">
        <v>115600</v>
      </c>
      <c r="J1077" t="inlineStr">
        <is>
          <t>Aug</t>
        </is>
      </c>
      <c r="K1077" t="n">
        <v>8</v>
      </c>
      <c r="L1077" t="inlineStr">
        <is>
          <t>Q3</t>
        </is>
      </c>
      <c r="M1077" t="n">
        <v>2024</v>
      </c>
      <c r="N1077" s="22" t="n">
        <v>45505</v>
      </c>
      <c r="O1077" s="24" t="n">
        <v>1.105294117647059</v>
      </c>
      <c r="P1077" s="23" t="n">
        <v>12172</v>
      </c>
    </row>
    <row r="1078">
      <c r="A1078" t="inlineStr">
        <is>
          <t>Cataflam 25 MG</t>
        </is>
      </c>
      <c r="B1078" t="inlineStr">
        <is>
          <t>Dakahlia 2</t>
        </is>
      </c>
      <c r="C1078" s="22" t="n">
        <v>45536</v>
      </c>
      <c r="D1078" t="inlineStr">
        <is>
          <t>Omar Khaled</t>
        </is>
      </c>
      <c r="E1078" t="n">
        <v>34</v>
      </c>
      <c r="F1078" t="n">
        <v>3546</v>
      </c>
      <c r="G1078" t="n">
        <v>3233</v>
      </c>
      <c r="H1078" s="23" t="n">
        <v>120564</v>
      </c>
      <c r="I1078" s="23" t="n">
        <v>109922</v>
      </c>
      <c r="J1078" t="inlineStr">
        <is>
          <t>Sep</t>
        </is>
      </c>
      <c r="K1078" t="n">
        <v>9</v>
      </c>
      <c r="L1078" t="inlineStr">
        <is>
          <t>Q3</t>
        </is>
      </c>
      <c r="M1078" t="n">
        <v>2024</v>
      </c>
      <c r="N1078" s="22" t="n">
        <v>45536</v>
      </c>
      <c r="O1078" s="24" t="n">
        <v>1.09681410454686</v>
      </c>
      <c r="P1078" s="23" t="n">
        <v>10642</v>
      </c>
    </row>
    <row r="1079">
      <c r="A1079" t="inlineStr">
        <is>
          <t>Cataflam 25 MG</t>
        </is>
      </c>
      <c r="B1079" t="inlineStr">
        <is>
          <t>Dakahlia 2</t>
        </is>
      </c>
      <c r="C1079" s="22" t="n">
        <v>45566</v>
      </c>
      <c r="D1079" t="inlineStr">
        <is>
          <t>Omar Khaled</t>
        </is>
      </c>
      <c r="E1079" t="n">
        <v>34</v>
      </c>
      <c r="F1079" t="n">
        <v>2560</v>
      </c>
      <c r="G1079" t="n">
        <v>2724</v>
      </c>
      <c r="H1079" s="23" t="n">
        <v>87040</v>
      </c>
      <c r="I1079" s="23" t="n">
        <v>92616</v>
      </c>
      <c r="J1079" t="inlineStr">
        <is>
          <t>Oct</t>
        </is>
      </c>
      <c r="K1079" t="n">
        <v>10</v>
      </c>
      <c r="L1079" t="inlineStr">
        <is>
          <t>Q4</t>
        </is>
      </c>
      <c r="M1079" t="n">
        <v>2024</v>
      </c>
      <c r="N1079" s="22" t="n">
        <v>45566</v>
      </c>
      <c r="O1079" s="24" t="n">
        <v>0.9397944199706314</v>
      </c>
      <c r="P1079" s="23" t="n">
        <v>-5576</v>
      </c>
    </row>
    <row r="1080">
      <c r="A1080" t="inlineStr">
        <is>
          <t>Cataflam 25 MG</t>
        </is>
      </c>
      <c r="B1080" t="inlineStr">
        <is>
          <t>Dakahlia 2</t>
        </is>
      </c>
      <c r="C1080" s="22" t="n">
        <v>45597</v>
      </c>
      <c r="D1080" t="inlineStr">
        <is>
          <t>Omar Khaled</t>
        </is>
      </c>
      <c r="E1080" t="n">
        <v>34</v>
      </c>
      <c r="F1080" t="n">
        <v>3782</v>
      </c>
      <c r="G1080" t="n">
        <v>3607</v>
      </c>
      <c r="H1080" s="23" t="n">
        <v>128588</v>
      </c>
      <c r="I1080" s="23" t="n">
        <v>122638</v>
      </c>
      <c r="J1080" t="inlineStr">
        <is>
          <t>Nov</t>
        </is>
      </c>
      <c r="K1080" t="n">
        <v>11</v>
      </c>
      <c r="L1080" t="inlineStr">
        <is>
          <t>Q4</t>
        </is>
      </c>
      <c r="M1080" t="n">
        <v>2024</v>
      </c>
      <c r="N1080" s="22" t="n">
        <v>45597</v>
      </c>
      <c r="O1080" s="24" t="n">
        <v>1.048516772941503</v>
      </c>
      <c r="P1080" s="23" t="n">
        <v>5950</v>
      </c>
    </row>
    <row r="1081">
      <c r="A1081" t="inlineStr">
        <is>
          <t>Cataflam 25 MG</t>
        </is>
      </c>
      <c r="B1081" t="inlineStr">
        <is>
          <t>Dakahlia 2</t>
        </is>
      </c>
      <c r="C1081" s="22" t="n">
        <v>45627</v>
      </c>
      <c r="D1081" t="inlineStr">
        <is>
          <t>Omar Khaled</t>
        </is>
      </c>
      <c r="E1081" t="n">
        <v>34</v>
      </c>
      <c r="F1081" t="n">
        <v>2051</v>
      </c>
      <c r="G1081" t="n">
        <v>2166</v>
      </c>
      <c r="H1081" s="23" t="n">
        <v>69734</v>
      </c>
      <c r="I1081" s="23" t="n">
        <v>73644</v>
      </c>
      <c r="J1081" t="inlineStr">
        <is>
          <t>Dec</t>
        </is>
      </c>
      <c r="K1081" t="n">
        <v>12</v>
      </c>
      <c r="L1081" t="inlineStr">
        <is>
          <t>Q4</t>
        </is>
      </c>
      <c r="M1081" t="n">
        <v>2024</v>
      </c>
      <c r="N1081" s="22" t="n">
        <v>45627</v>
      </c>
      <c r="O1081" s="24" t="n">
        <v>0.9469067405355494</v>
      </c>
      <c r="P1081" s="23" t="n">
        <v>-3910</v>
      </c>
    </row>
    <row r="1082">
      <c r="A1082" t="inlineStr">
        <is>
          <t>Cataflam 25 MG</t>
        </is>
      </c>
      <c r="B1082" t="inlineStr">
        <is>
          <t>Sharqia 1</t>
        </is>
      </c>
      <c r="C1082" s="22" t="n">
        <v>45292</v>
      </c>
      <c r="D1082" t="inlineStr">
        <is>
          <t>Sara Ibrahim</t>
        </is>
      </c>
      <c r="E1082" t="n">
        <v>34</v>
      </c>
      <c r="F1082" t="n">
        <v>2119</v>
      </c>
      <c r="G1082" t="n">
        <v>2015</v>
      </c>
      <c r="H1082" s="23" t="n">
        <v>72046</v>
      </c>
      <c r="I1082" s="23" t="n">
        <v>68510</v>
      </c>
      <c r="J1082" t="inlineStr">
        <is>
          <t>Jan</t>
        </is>
      </c>
      <c r="K1082" t="n">
        <v>1</v>
      </c>
      <c r="L1082" t="inlineStr">
        <is>
          <t>Q1</t>
        </is>
      </c>
      <c r="M1082" t="n">
        <v>2024</v>
      </c>
      <c r="N1082" s="22" t="n">
        <v>45292</v>
      </c>
      <c r="O1082" s="24" t="n">
        <v>1.051612903225806</v>
      </c>
      <c r="P1082" s="23" t="n">
        <v>3536</v>
      </c>
    </row>
    <row r="1083">
      <c r="A1083" t="inlineStr">
        <is>
          <t>Cataflam 25 MG</t>
        </is>
      </c>
      <c r="B1083" t="inlineStr">
        <is>
          <t>Sharqia 1</t>
        </is>
      </c>
      <c r="C1083" s="22" t="n">
        <v>45323</v>
      </c>
      <c r="D1083" t="inlineStr">
        <is>
          <t>Sara Ibrahim</t>
        </is>
      </c>
      <c r="E1083" t="n">
        <v>34</v>
      </c>
      <c r="F1083" t="n">
        <v>2405</v>
      </c>
      <c r="G1083" t="n">
        <v>2506</v>
      </c>
      <c r="H1083" s="23" t="n">
        <v>81770</v>
      </c>
      <c r="I1083" s="23" t="n">
        <v>85204</v>
      </c>
      <c r="J1083" t="inlineStr">
        <is>
          <t>Feb</t>
        </is>
      </c>
      <c r="K1083" t="n">
        <v>2</v>
      </c>
      <c r="L1083" t="inlineStr">
        <is>
          <t>Q1</t>
        </is>
      </c>
      <c r="M1083" t="n">
        <v>2024</v>
      </c>
      <c r="N1083" s="22" t="n">
        <v>45323</v>
      </c>
      <c r="O1083" s="24" t="n">
        <v>0.9596967278531524</v>
      </c>
      <c r="P1083" s="23" t="n">
        <v>-3434</v>
      </c>
    </row>
    <row r="1084">
      <c r="A1084" t="inlineStr">
        <is>
          <t>Cataflam 25 MG</t>
        </is>
      </c>
      <c r="B1084" t="inlineStr">
        <is>
          <t>Sharqia 1</t>
        </is>
      </c>
      <c r="C1084" s="22" t="n">
        <v>45352</v>
      </c>
      <c r="D1084" t="inlineStr">
        <is>
          <t>Sara Ibrahim</t>
        </is>
      </c>
      <c r="E1084" t="n">
        <v>34</v>
      </c>
      <c r="F1084" t="n">
        <v>2575</v>
      </c>
      <c r="G1084" t="n">
        <v>2527</v>
      </c>
      <c r="H1084" s="23" t="n">
        <v>87550</v>
      </c>
      <c r="I1084" s="23" t="n">
        <v>85918</v>
      </c>
      <c r="J1084" t="inlineStr">
        <is>
          <t>Mar</t>
        </is>
      </c>
      <c r="K1084" t="n">
        <v>3</v>
      </c>
      <c r="L1084" t="inlineStr">
        <is>
          <t>Q1</t>
        </is>
      </c>
      <c r="M1084" t="n">
        <v>2024</v>
      </c>
      <c r="N1084" s="22" t="n">
        <v>45352</v>
      </c>
      <c r="O1084" s="24" t="n">
        <v>1.018994855559953</v>
      </c>
      <c r="P1084" s="23" t="n">
        <v>1632</v>
      </c>
    </row>
    <row r="1085">
      <c r="A1085" t="inlineStr">
        <is>
          <t>Cataflam 25 MG</t>
        </is>
      </c>
      <c r="B1085" t="inlineStr">
        <is>
          <t>Sharqia 1</t>
        </is>
      </c>
      <c r="C1085" s="22" t="n">
        <v>45383</v>
      </c>
      <c r="D1085" t="inlineStr">
        <is>
          <t>Sara Ibrahim</t>
        </is>
      </c>
      <c r="E1085" t="n">
        <v>34</v>
      </c>
      <c r="F1085" t="n">
        <v>3120</v>
      </c>
      <c r="G1085" t="n">
        <v>3382</v>
      </c>
      <c r="H1085" s="23" t="n">
        <v>106080</v>
      </c>
      <c r="I1085" s="23" t="n">
        <v>114988</v>
      </c>
      <c r="J1085" t="inlineStr">
        <is>
          <t>Apr</t>
        </is>
      </c>
      <c r="K1085" t="n">
        <v>4</v>
      </c>
      <c r="L1085" t="inlineStr">
        <is>
          <t>Q2</t>
        </is>
      </c>
      <c r="M1085" t="n">
        <v>2024</v>
      </c>
      <c r="N1085" s="22" t="n">
        <v>45383</v>
      </c>
      <c r="O1085" s="24" t="n">
        <v>0.9225310467179184</v>
      </c>
      <c r="P1085" s="23" t="n">
        <v>-8908</v>
      </c>
    </row>
    <row r="1086">
      <c r="A1086" t="inlineStr">
        <is>
          <t>Cataflam 25 MG</t>
        </is>
      </c>
      <c r="B1086" t="inlineStr">
        <is>
          <t>Sharqia 1</t>
        </is>
      </c>
      <c r="C1086" s="22" t="n">
        <v>45413</v>
      </c>
      <c r="D1086" t="inlineStr">
        <is>
          <t>Sara Ibrahim</t>
        </is>
      </c>
      <c r="E1086" t="n">
        <v>34</v>
      </c>
      <c r="F1086" t="n">
        <v>3299</v>
      </c>
      <c r="G1086" t="n">
        <v>3655</v>
      </c>
      <c r="H1086" s="23" t="n">
        <v>112166</v>
      </c>
      <c r="I1086" s="23" t="n">
        <v>124270</v>
      </c>
      <c r="J1086" t="inlineStr">
        <is>
          <t>May</t>
        </is>
      </c>
      <c r="K1086" t="n">
        <v>5</v>
      </c>
      <c r="L1086" t="inlineStr">
        <is>
          <t>Q2</t>
        </is>
      </c>
      <c r="M1086" t="n">
        <v>2024</v>
      </c>
      <c r="N1086" s="22" t="n">
        <v>45413</v>
      </c>
      <c r="O1086" s="24" t="n">
        <v>0.9025991792065663</v>
      </c>
      <c r="P1086" s="23" t="n">
        <v>-12104</v>
      </c>
    </row>
    <row r="1087">
      <c r="A1087" t="inlineStr">
        <is>
          <t>Cataflam 25 MG</t>
        </is>
      </c>
      <c r="B1087" t="inlineStr">
        <is>
          <t>Sharqia 1</t>
        </is>
      </c>
      <c r="C1087" s="22" t="n">
        <v>45444</v>
      </c>
      <c r="D1087" t="inlineStr">
        <is>
          <t>Sara Ibrahim</t>
        </is>
      </c>
      <c r="E1087" t="n">
        <v>34</v>
      </c>
      <c r="F1087" t="n">
        <v>1829</v>
      </c>
      <c r="G1087" t="n">
        <v>2015</v>
      </c>
      <c r="H1087" s="23" t="n">
        <v>62186</v>
      </c>
      <c r="I1087" s="23" t="n">
        <v>68510</v>
      </c>
      <c r="J1087" t="inlineStr">
        <is>
          <t>Jun</t>
        </is>
      </c>
      <c r="K1087" t="n">
        <v>6</v>
      </c>
      <c r="L1087" t="inlineStr">
        <is>
          <t>Q2</t>
        </is>
      </c>
      <c r="M1087" t="n">
        <v>2024</v>
      </c>
      <c r="N1087" s="22" t="n">
        <v>45444</v>
      </c>
      <c r="O1087" s="24" t="n">
        <v>0.9076923076923077</v>
      </c>
      <c r="P1087" s="23" t="n">
        <v>-6324</v>
      </c>
    </row>
    <row r="1088">
      <c r="A1088" t="inlineStr">
        <is>
          <t>Cataflam 25 MG</t>
        </is>
      </c>
      <c r="B1088" t="inlineStr">
        <is>
          <t>Sharqia 1</t>
        </is>
      </c>
      <c r="C1088" s="22" t="n">
        <v>45474</v>
      </c>
      <c r="D1088" t="inlineStr">
        <is>
          <t>Sara Ibrahim</t>
        </is>
      </c>
      <c r="E1088" t="n">
        <v>34</v>
      </c>
      <c r="F1088" t="n">
        <v>2496</v>
      </c>
      <c r="G1088" t="n">
        <v>2828</v>
      </c>
      <c r="H1088" s="23" t="n">
        <v>84864</v>
      </c>
      <c r="I1088" s="23" t="n">
        <v>96152</v>
      </c>
      <c r="J1088" t="inlineStr">
        <is>
          <t>Jul</t>
        </is>
      </c>
      <c r="K1088" t="n">
        <v>7</v>
      </c>
      <c r="L1088" t="inlineStr">
        <is>
          <t>Q3</t>
        </is>
      </c>
      <c r="M1088" t="n">
        <v>2024</v>
      </c>
      <c r="N1088" s="22" t="n">
        <v>45474</v>
      </c>
      <c r="O1088" s="24" t="n">
        <v>0.8826025459688827</v>
      </c>
      <c r="P1088" s="23" t="n">
        <v>-11288</v>
      </c>
    </row>
    <row r="1089">
      <c r="A1089" t="inlineStr">
        <is>
          <t>Cataflam 25 MG</t>
        </is>
      </c>
      <c r="B1089" t="inlineStr">
        <is>
          <t>Sharqia 1</t>
        </is>
      </c>
      <c r="C1089" s="22" t="n">
        <v>45505</v>
      </c>
      <c r="D1089" t="inlineStr">
        <is>
          <t>Sara Ibrahim</t>
        </is>
      </c>
      <c r="E1089" t="n">
        <v>34</v>
      </c>
      <c r="F1089" t="n">
        <v>3230</v>
      </c>
      <c r="G1089" t="n">
        <v>3566</v>
      </c>
      <c r="H1089" s="23" t="n">
        <v>109820</v>
      </c>
      <c r="I1089" s="23" t="n">
        <v>121244</v>
      </c>
      <c r="J1089" t="inlineStr">
        <is>
          <t>Aug</t>
        </is>
      </c>
      <c r="K1089" t="n">
        <v>8</v>
      </c>
      <c r="L1089" t="inlineStr">
        <is>
          <t>Q3</t>
        </is>
      </c>
      <c r="M1089" t="n">
        <v>2024</v>
      </c>
      <c r="N1089" s="22" t="n">
        <v>45505</v>
      </c>
      <c r="O1089" s="24" t="n">
        <v>0.9057767807066741</v>
      </c>
      <c r="P1089" s="23" t="n">
        <v>-11424</v>
      </c>
    </row>
    <row r="1090">
      <c r="A1090" t="inlineStr">
        <is>
          <t>Cataflam 25 MG</t>
        </is>
      </c>
      <c r="B1090" t="inlineStr">
        <is>
          <t>Sharqia 1</t>
        </is>
      </c>
      <c r="C1090" s="22" t="n">
        <v>45536</v>
      </c>
      <c r="D1090" t="inlineStr">
        <is>
          <t>Sara Ibrahim</t>
        </is>
      </c>
      <c r="E1090" t="n">
        <v>34</v>
      </c>
      <c r="F1090" t="n">
        <v>3915</v>
      </c>
      <c r="G1090" t="n">
        <v>3651</v>
      </c>
      <c r="H1090" s="23" t="n">
        <v>133110</v>
      </c>
      <c r="I1090" s="23" t="n">
        <v>124134</v>
      </c>
      <c r="J1090" t="inlineStr">
        <is>
          <t>Sep</t>
        </is>
      </c>
      <c r="K1090" t="n">
        <v>9</v>
      </c>
      <c r="L1090" t="inlineStr">
        <is>
          <t>Q3</t>
        </is>
      </c>
      <c r="M1090" t="n">
        <v>2024</v>
      </c>
      <c r="N1090" s="22" t="n">
        <v>45536</v>
      </c>
      <c r="O1090" s="24" t="n">
        <v>1.072308956450288</v>
      </c>
      <c r="P1090" s="23" t="n">
        <v>8976</v>
      </c>
    </row>
    <row r="1091">
      <c r="A1091" t="inlineStr">
        <is>
          <t>Cataflam 25 MG</t>
        </is>
      </c>
      <c r="B1091" t="inlineStr">
        <is>
          <t>Sharqia 1</t>
        </is>
      </c>
      <c r="C1091" s="22" t="n">
        <v>45566</v>
      </c>
      <c r="D1091" t="inlineStr">
        <is>
          <t>Sara Ibrahim</t>
        </is>
      </c>
      <c r="E1091" t="n">
        <v>34</v>
      </c>
      <c r="F1091" t="n">
        <v>2330</v>
      </c>
      <c r="G1091" t="n">
        <v>2432</v>
      </c>
      <c r="H1091" s="23" t="n">
        <v>79220</v>
      </c>
      <c r="I1091" s="23" t="n">
        <v>82688</v>
      </c>
      <c r="J1091" t="inlineStr">
        <is>
          <t>Oct</t>
        </is>
      </c>
      <c r="K1091" t="n">
        <v>10</v>
      </c>
      <c r="L1091" t="inlineStr">
        <is>
          <t>Q4</t>
        </is>
      </c>
      <c r="M1091" t="n">
        <v>2024</v>
      </c>
      <c r="N1091" s="22" t="n">
        <v>45566</v>
      </c>
      <c r="O1091" s="24" t="n">
        <v>0.9580592105263158</v>
      </c>
      <c r="P1091" s="23" t="n">
        <v>-3468</v>
      </c>
    </row>
    <row r="1092">
      <c r="A1092" t="inlineStr">
        <is>
          <t>Cataflam 25 MG</t>
        </is>
      </c>
      <c r="B1092" t="inlineStr">
        <is>
          <t>Sharqia 1</t>
        </is>
      </c>
      <c r="C1092" s="22" t="n">
        <v>45597</v>
      </c>
      <c r="D1092" t="inlineStr">
        <is>
          <t>Sara Ibrahim</t>
        </is>
      </c>
      <c r="E1092" t="n">
        <v>34</v>
      </c>
      <c r="F1092" t="n">
        <v>2176</v>
      </c>
      <c r="G1092" t="n">
        <v>2270</v>
      </c>
      <c r="H1092" s="23" t="n">
        <v>73984</v>
      </c>
      <c r="I1092" s="23" t="n">
        <v>77180</v>
      </c>
      <c r="J1092" t="inlineStr">
        <is>
          <t>Nov</t>
        </is>
      </c>
      <c r="K1092" t="n">
        <v>11</v>
      </c>
      <c r="L1092" t="inlineStr">
        <is>
          <t>Q4</t>
        </is>
      </c>
      <c r="M1092" t="n">
        <v>2024</v>
      </c>
      <c r="N1092" s="22" t="n">
        <v>45597</v>
      </c>
      <c r="O1092" s="24" t="n">
        <v>0.958590308370044</v>
      </c>
      <c r="P1092" s="23" t="n">
        <v>-3196</v>
      </c>
    </row>
    <row r="1093">
      <c r="A1093" t="inlineStr">
        <is>
          <t>Cataflam 25 MG</t>
        </is>
      </c>
      <c r="B1093" t="inlineStr">
        <is>
          <t>Sharqia 1</t>
        </is>
      </c>
      <c r="C1093" s="22" t="n">
        <v>45627</v>
      </c>
      <c r="D1093" t="inlineStr">
        <is>
          <t>Sara Ibrahim</t>
        </is>
      </c>
      <c r="E1093" t="n">
        <v>34</v>
      </c>
      <c r="F1093" t="n">
        <v>1851</v>
      </c>
      <c r="G1093" t="n">
        <v>2117</v>
      </c>
      <c r="H1093" s="23" t="n">
        <v>62934</v>
      </c>
      <c r="I1093" s="23" t="n">
        <v>71978</v>
      </c>
      <c r="J1093" t="inlineStr">
        <is>
          <t>Dec</t>
        </is>
      </c>
      <c r="K1093" t="n">
        <v>12</v>
      </c>
      <c r="L1093" t="inlineStr">
        <is>
          <t>Q4</t>
        </is>
      </c>
      <c r="M1093" t="n">
        <v>2024</v>
      </c>
      <c r="N1093" s="22" t="n">
        <v>45627</v>
      </c>
      <c r="O1093" s="24" t="n">
        <v>0.8743504959848842</v>
      </c>
      <c r="P1093" s="23" t="n">
        <v>-9044</v>
      </c>
    </row>
    <row r="1094">
      <c r="A1094" t="inlineStr">
        <is>
          <t>Cataflam 25 MG</t>
        </is>
      </c>
      <c r="B1094" t="inlineStr">
        <is>
          <t>Sharqia 2</t>
        </is>
      </c>
      <c r="C1094" s="22" t="n">
        <v>45292</v>
      </c>
      <c r="D1094" t="inlineStr">
        <is>
          <t>Youssef Farouk</t>
        </is>
      </c>
      <c r="E1094" t="n">
        <v>34</v>
      </c>
      <c r="F1094" t="n">
        <v>3034</v>
      </c>
      <c r="G1094" t="n">
        <v>3231</v>
      </c>
      <c r="H1094" s="23" t="n">
        <v>103156</v>
      </c>
      <c r="I1094" s="23" t="n">
        <v>109854</v>
      </c>
      <c r="J1094" t="inlineStr">
        <is>
          <t>Jan</t>
        </is>
      </c>
      <c r="K1094" t="n">
        <v>1</v>
      </c>
      <c r="L1094" t="inlineStr">
        <is>
          <t>Q1</t>
        </is>
      </c>
      <c r="M1094" t="n">
        <v>2024</v>
      </c>
      <c r="N1094" s="22" t="n">
        <v>45292</v>
      </c>
      <c r="O1094" s="24" t="n">
        <v>0.9390281646549056</v>
      </c>
      <c r="P1094" s="23" t="n">
        <v>-6698</v>
      </c>
    </row>
    <row r="1095">
      <c r="A1095" t="inlineStr">
        <is>
          <t>Cataflam 25 MG</t>
        </is>
      </c>
      <c r="B1095" t="inlineStr">
        <is>
          <t>Sharqia 2</t>
        </is>
      </c>
      <c r="C1095" s="22" t="n">
        <v>45323</v>
      </c>
      <c r="D1095" t="inlineStr">
        <is>
          <t>Youssef Farouk</t>
        </is>
      </c>
      <c r="E1095" t="n">
        <v>34</v>
      </c>
      <c r="F1095" t="n">
        <v>3203</v>
      </c>
      <c r="G1095" t="n">
        <v>3366</v>
      </c>
      <c r="H1095" s="23" t="n">
        <v>108902</v>
      </c>
      <c r="I1095" s="23" t="n">
        <v>114444</v>
      </c>
      <c r="J1095" t="inlineStr">
        <is>
          <t>Feb</t>
        </is>
      </c>
      <c r="K1095" t="n">
        <v>2</v>
      </c>
      <c r="L1095" t="inlineStr">
        <is>
          <t>Q1</t>
        </is>
      </c>
      <c r="M1095" t="n">
        <v>2024</v>
      </c>
      <c r="N1095" s="22" t="n">
        <v>45323</v>
      </c>
      <c r="O1095" s="24" t="n">
        <v>0.9515745692216281</v>
      </c>
      <c r="P1095" s="23" t="n">
        <v>-5542</v>
      </c>
    </row>
    <row r="1096">
      <c r="A1096" t="inlineStr">
        <is>
          <t>Cataflam 25 MG</t>
        </is>
      </c>
      <c r="B1096" t="inlineStr">
        <is>
          <t>Sharqia 2</t>
        </is>
      </c>
      <c r="C1096" s="22" t="n">
        <v>45352</v>
      </c>
      <c r="D1096" t="inlineStr">
        <is>
          <t>Youssef Farouk</t>
        </is>
      </c>
      <c r="E1096" t="n">
        <v>34</v>
      </c>
      <c r="F1096" t="n">
        <v>2543</v>
      </c>
      <c r="G1096" t="n">
        <v>2618</v>
      </c>
      <c r="H1096" s="23" t="n">
        <v>86462</v>
      </c>
      <c r="I1096" s="23" t="n">
        <v>89012</v>
      </c>
      <c r="J1096" t="inlineStr">
        <is>
          <t>Mar</t>
        </is>
      </c>
      <c r="K1096" t="n">
        <v>3</v>
      </c>
      <c r="L1096" t="inlineStr">
        <is>
          <t>Q1</t>
        </is>
      </c>
      <c r="M1096" t="n">
        <v>2024</v>
      </c>
      <c r="N1096" s="22" t="n">
        <v>45352</v>
      </c>
      <c r="O1096" s="24" t="n">
        <v>0.9713521772345302</v>
      </c>
      <c r="P1096" s="23" t="n">
        <v>-2550</v>
      </c>
    </row>
    <row r="1097">
      <c r="A1097" t="inlineStr">
        <is>
          <t>Cataflam 25 MG</t>
        </is>
      </c>
      <c r="B1097" t="inlineStr">
        <is>
          <t>Sharqia 2</t>
        </is>
      </c>
      <c r="C1097" s="22" t="n">
        <v>45383</v>
      </c>
      <c r="D1097" t="inlineStr">
        <is>
          <t>Youssef Farouk</t>
        </is>
      </c>
      <c r="E1097" t="n">
        <v>34</v>
      </c>
      <c r="F1097" t="n">
        <v>2715</v>
      </c>
      <c r="G1097" t="n">
        <v>2709</v>
      </c>
      <c r="H1097" s="23" t="n">
        <v>92310</v>
      </c>
      <c r="I1097" s="23" t="n">
        <v>92106</v>
      </c>
      <c r="J1097" t="inlineStr">
        <is>
          <t>Apr</t>
        </is>
      </c>
      <c r="K1097" t="n">
        <v>4</v>
      </c>
      <c r="L1097" t="inlineStr">
        <is>
          <t>Q2</t>
        </is>
      </c>
      <c r="M1097" t="n">
        <v>2024</v>
      </c>
      <c r="N1097" s="22" t="n">
        <v>45383</v>
      </c>
      <c r="O1097" s="24" t="n">
        <v>1.002214839424142</v>
      </c>
      <c r="P1097" s="23" t="n">
        <v>204</v>
      </c>
    </row>
    <row r="1098">
      <c r="A1098" t="inlineStr">
        <is>
          <t>Cataflam 25 MG</t>
        </is>
      </c>
      <c r="B1098" t="inlineStr">
        <is>
          <t>Sharqia 2</t>
        </is>
      </c>
      <c r="C1098" s="22" t="n">
        <v>45413</v>
      </c>
      <c r="D1098" t="inlineStr">
        <is>
          <t>Youssef Farouk</t>
        </is>
      </c>
      <c r="E1098" t="n">
        <v>34</v>
      </c>
      <c r="F1098" t="n">
        <v>3098</v>
      </c>
      <c r="G1098" t="n">
        <v>2861</v>
      </c>
      <c r="H1098" s="23" t="n">
        <v>105332</v>
      </c>
      <c r="I1098" s="23" t="n">
        <v>97274</v>
      </c>
      <c r="J1098" t="inlineStr">
        <is>
          <t>May</t>
        </is>
      </c>
      <c r="K1098" t="n">
        <v>5</v>
      </c>
      <c r="L1098" t="inlineStr">
        <is>
          <t>Q2</t>
        </is>
      </c>
      <c r="M1098" t="n">
        <v>2024</v>
      </c>
      <c r="N1098" s="22" t="n">
        <v>45413</v>
      </c>
      <c r="O1098" s="24" t="n">
        <v>1.082838168472562</v>
      </c>
      <c r="P1098" s="23" t="n">
        <v>8058</v>
      </c>
    </row>
    <row r="1099">
      <c r="A1099" t="inlineStr">
        <is>
          <t>Cataflam 25 MG</t>
        </is>
      </c>
      <c r="B1099" t="inlineStr">
        <is>
          <t>Sharqia 2</t>
        </is>
      </c>
      <c r="C1099" s="22" t="n">
        <v>45444</v>
      </c>
      <c r="D1099" t="inlineStr">
        <is>
          <t>Youssef Farouk</t>
        </is>
      </c>
      <c r="E1099" t="n">
        <v>34</v>
      </c>
      <c r="F1099" t="n">
        <v>2055</v>
      </c>
      <c r="G1099" t="n">
        <v>2146</v>
      </c>
      <c r="H1099" s="23" t="n">
        <v>69870</v>
      </c>
      <c r="I1099" s="23" t="n">
        <v>72964</v>
      </c>
      <c r="J1099" t="inlineStr">
        <is>
          <t>Jun</t>
        </is>
      </c>
      <c r="K1099" t="n">
        <v>6</v>
      </c>
      <c r="L1099" t="inlineStr">
        <is>
          <t>Q2</t>
        </is>
      </c>
      <c r="M1099" t="n">
        <v>2024</v>
      </c>
      <c r="N1099" s="22" t="n">
        <v>45444</v>
      </c>
      <c r="O1099" s="24" t="n">
        <v>0.9575955265610439</v>
      </c>
      <c r="P1099" s="23" t="n">
        <v>-3094</v>
      </c>
    </row>
    <row r="1100">
      <c r="A1100" t="inlineStr">
        <is>
          <t>Cataflam 25 MG</t>
        </is>
      </c>
      <c r="B1100" t="inlineStr">
        <is>
          <t>Sharqia 2</t>
        </is>
      </c>
      <c r="C1100" s="22" t="n">
        <v>45474</v>
      </c>
      <c r="D1100" t="inlineStr">
        <is>
          <t>Youssef Farouk</t>
        </is>
      </c>
      <c r="E1100" t="n">
        <v>34</v>
      </c>
      <c r="F1100" t="n">
        <v>3364</v>
      </c>
      <c r="G1100" t="n">
        <v>3349</v>
      </c>
      <c r="H1100" s="23" t="n">
        <v>114376</v>
      </c>
      <c r="I1100" s="23" t="n">
        <v>113866</v>
      </c>
      <c r="J1100" t="inlineStr">
        <is>
          <t>Jul</t>
        </is>
      </c>
      <c r="K1100" t="n">
        <v>7</v>
      </c>
      <c r="L1100" t="inlineStr">
        <is>
          <t>Q3</t>
        </is>
      </c>
      <c r="M1100" t="n">
        <v>2024</v>
      </c>
      <c r="N1100" s="22" t="n">
        <v>45474</v>
      </c>
      <c r="O1100" s="24" t="n">
        <v>1.004478948939982</v>
      </c>
      <c r="P1100" s="23" t="n">
        <v>510</v>
      </c>
    </row>
    <row r="1101">
      <c r="A1101" t="inlineStr">
        <is>
          <t>Cataflam 25 MG</t>
        </is>
      </c>
      <c r="B1101" t="inlineStr">
        <is>
          <t>Sharqia 2</t>
        </is>
      </c>
      <c r="C1101" s="22" t="n">
        <v>45505</v>
      </c>
      <c r="D1101" t="inlineStr">
        <is>
          <t>Youssef Farouk</t>
        </is>
      </c>
      <c r="E1101" t="n">
        <v>34</v>
      </c>
      <c r="F1101" t="n">
        <v>3874</v>
      </c>
      <c r="G1101" t="n">
        <v>3813</v>
      </c>
      <c r="H1101" s="23" t="n">
        <v>131716</v>
      </c>
      <c r="I1101" s="23" t="n">
        <v>129642</v>
      </c>
      <c r="J1101" t="inlineStr">
        <is>
          <t>Aug</t>
        </is>
      </c>
      <c r="K1101" t="n">
        <v>8</v>
      </c>
      <c r="L1101" t="inlineStr">
        <is>
          <t>Q3</t>
        </is>
      </c>
      <c r="M1101" t="n">
        <v>2024</v>
      </c>
      <c r="N1101" s="22" t="n">
        <v>45505</v>
      </c>
      <c r="O1101" s="24" t="n">
        <v>1.015997901914503</v>
      </c>
      <c r="P1101" s="23" t="n">
        <v>2074</v>
      </c>
    </row>
    <row r="1102">
      <c r="A1102" t="inlineStr">
        <is>
          <t>Cataflam 25 MG</t>
        </is>
      </c>
      <c r="B1102" t="inlineStr">
        <is>
          <t>Sharqia 2</t>
        </is>
      </c>
      <c r="C1102" s="22" t="n">
        <v>45536</v>
      </c>
      <c r="D1102" t="inlineStr">
        <is>
          <t>Youssef Farouk</t>
        </is>
      </c>
      <c r="E1102" t="n">
        <v>34</v>
      </c>
      <c r="F1102" t="n">
        <v>2176</v>
      </c>
      <c r="G1102" t="n">
        <v>2455</v>
      </c>
      <c r="H1102" s="23" t="n">
        <v>73984</v>
      </c>
      <c r="I1102" s="23" t="n">
        <v>83470</v>
      </c>
      <c r="J1102" t="inlineStr">
        <is>
          <t>Sep</t>
        </is>
      </c>
      <c r="K1102" t="n">
        <v>9</v>
      </c>
      <c r="L1102" t="inlineStr">
        <is>
          <t>Q3</t>
        </is>
      </c>
      <c r="M1102" t="n">
        <v>2024</v>
      </c>
      <c r="N1102" s="22" t="n">
        <v>45536</v>
      </c>
      <c r="O1102" s="24" t="n">
        <v>0.8863543788187372</v>
      </c>
      <c r="P1102" s="23" t="n">
        <v>-9486</v>
      </c>
    </row>
    <row r="1103">
      <c r="A1103" t="inlineStr">
        <is>
          <t>Cataflam 25 MG</t>
        </is>
      </c>
      <c r="B1103" t="inlineStr">
        <is>
          <t>Sharqia 2</t>
        </is>
      </c>
      <c r="C1103" s="22" t="n">
        <v>45566</v>
      </c>
      <c r="D1103" t="inlineStr">
        <is>
          <t>Youssef Farouk</t>
        </is>
      </c>
      <c r="E1103" t="n">
        <v>34</v>
      </c>
      <c r="F1103" t="n">
        <v>3325</v>
      </c>
      <c r="G1103" t="n">
        <v>3580</v>
      </c>
      <c r="H1103" s="23" t="n">
        <v>113050</v>
      </c>
      <c r="I1103" s="23" t="n">
        <v>121720</v>
      </c>
      <c r="J1103" t="inlineStr">
        <is>
          <t>Oct</t>
        </is>
      </c>
      <c r="K1103" t="n">
        <v>10</v>
      </c>
      <c r="L1103" t="inlineStr">
        <is>
          <t>Q4</t>
        </is>
      </c>
      <c r="M1103" t="n">
        <v>2024</v>
      </c>
      <c r="N1103" s="22" t="n">
        <v>45566</v>
      </c>
      <c r="O1103" s="24" t="n">
        <v>0.9287709497206704</v>
      </c>
      <c r="P1103" s="23" t="n">
        <v>-8670</v>
      </c>
    </row>
    <row r="1104">
      <c r="A1104" t="inlineStr">
        <is>
          <t>Cataflam 25 MG</t>
        </is>
      </c>
      <c r="B1104" t="inlineStr">
        <is>
          <t>Sharqia 2</t>
        </is>
      </c>
      <c r="C1104" s="22" t="n">
        <v>45597</v>
      </c>
      <c r="D1104" t="inlineStr">
        <is>
          <t>Youssef Farouk</t>
        </is>
      </c>
      <c r="E1104" t="n">
        <v>34</v>
      </c>
      <c r="F1104" t="n">
        <v>2944</v>
      </c>
      <c r="G1104" t="n">
        <v>3304</v>
      </c>
      <c r="H1104" s="23" t="n">
        <v>100096</v>
      </c>
      <c r="I1104" s="23" t="n">
        <v>112336</v>
      </c>
      <c r="J1104" t="inlineStr">
        <is>
          <t>Nov</t>
        </is>
      </c>
      <c r="K1104" t="n">
        <v>11</v>
      </c>
      <c r="L1104" t="inlineStr">
        <is>
          <t>Q4</t>
        </is>
      </c>
      <c r="M1104" t="n">
        <v>2024</v>
      </c>
      <c r="N1104" s="22" t="n">
        <v>45597</v>
      </c>
      <c r="O1104" s="24" t="n">
        <v>0.8910411622276029</v>
      </c>
      <c r="P1104" s="23" t="n">
        <v>-12240</v>
      </c>
    </row>
    <row r="1105">
      <c r="A1105" t="inlineStr">
        <is>
          <t>Cataflam 25 MG</t>
        </is>
      </c>
      <c r="B1105" t="inlineStr">
        <is>
          <t>Sharqia 2</t>
        </is>
      </c>
      <c r="C1105" s="22" t="n">
        <v>45627</v>
      </c>
      <c r="D1105" t="inlineStr">
        <is>
          <t>Youssef Farouk</t>
        </is>
      </c>
      <c r="E1105" t="n">
        <v>34</v>
      </c>
      <c r="F1105" t="n">
        <v>2509</v>
      </c>
      <c r="G1105" t="n">
        <v>2290</v>
      </c>
      <c r="H1105" s="23" t="n">
        <v>85306</v>
      </c>
      <c r="I1105" s="23" t="n">
        <v>77860</v>
      </c>
      <c r="J1105" t="inlineStr">
        <is>
          <t>Dec</t>
        </is>
      </c>
      <c r="K1105" t="n">
        <v>12</v>
      </c>
      <c r="L1105" t="inlineStr">
        <is>
          <t>Q4</t>
        </is>
      </c>
      <c r="M1105" t="n">
        <v>2024</v>
      </c>
      <c r="N1105" s="22" t="n">
        <v>45627</v>
      </c>
      <c r="O1105" s="24" t="n">
        <v>1.095633187772926</v>
      </c>
      <c r="P1105" s="23" t="n">
        <v>7446</v>
      </c>
    </row>
    <row r="1106">
      <c r="A1106" t="inlineStr">
        <is>
          <t>Augmentin 625 MG</t>
        </is>
      </c>
      <c r="B1106" t="inlineStr">
        <is>
          <t>Alexandria 1</t>
        </is>
      </c>
      <c r="C1106" s="22" t="n">
        <v>45292</v>
      </c>
      <c r="D1106" t="inlineStr">
        <is>
          <t>Ahmed Hassan</t>
        </is>
      </c>
      <c r="E1106" t="n">
        <v>117</v>
      </c>
      <c r="F1106" t="n">
        <v>2500</v>
      </c>
      <c r="G1106" t="n">
        <v>1800</v>
      </c>
      <c r="H1106" s="23" t="n">
        <v>292500</v>
      </c>
      <c r="I1106" s="23" t="n">
        <v>210600</v>
      </c>
      <c r="J1106" t="inlineStr">
        <is>
          <t>Jan</t>
        </is>
      </c>
      <c r="K1106" t="n">
        <v>1</v>
      </c>
      <c r="L1106" t="inlineStr">
        <is>
          <t>Q1</t>
        </is>
      </c>
      <c r="M1106" t="n">
        <v>2024</v>
      </c>
      <c r="N1106" s="22" t="n">
        <v>45292</v>
      </c>
      <c r="O1106" s="24" t="n">
        <v>1.388888888888889</v>
      </c>
      <c r="P1106" s="23" t="n">
        <v>81900</v>
      </c>
    </row>
    <row r="1107">
      <c r="A1107" t="inlineStr">
        <is>
          <t>Augmentin 625 MG</t>
        </is>
      </c>
      <c r="B1107" t="inlineStr">
        <is>
          <t>Alexandria 1</t>
        </is>
      </c>
      <c r="C1107" s="22" t="n">
        <v>45323</v>
      </c>
      <c r="D1107" t="inlineStr">
        <is>
          <t>Ahmed Hassan</t>
        </is>
      </c>
      <c r="E1107" t="n">
        <v>117</v>
      </c>
      <c r="F1107" t="n">
        <v>2458</v>
      </c>
      <c r="G1107" t="n">
        <v>1600</v>
      </c>
      <c r="H1107" s="23" t="n">
        <v>287586</v>
      </c>
      <c r="I1107" s="23" t="n">
        <v>187200</v>
      </c>
      <c r="J1107" t="inlineStr">
        <is>
          <t>Feb</t>
        </is>
      </c>
      <c r="K1107" t="n">
        <v>2</v>
      </c>
      <c r="L1107" t="inlineStr">
        <is>
          <t>Q1</t>
        </is>
      </c>
      <c r="M1107" t="n">
        <v>2024</v>
      </c>
      <c r="N1107" s="22" t="n">
        <v>45323</v>
      </c>
      <c r="O1107" s="24" t="n">
        <v>1.53625</v>
      </c>
      <c r="P1107" s="23" t="n">
        <v>100386</v>
      </c>
    </row>
    <row r="1108">
      <c r="A1108" t="inlineStr">
        <is>
          <t>Augmentin 625 MG</t>
        </is>
      </c>
      <c r="B1108" t="inlineStr">
        <is>
          <t>Alexandria 1</t>
        </is>
      </c>
      <c r="C1108" s="22" t="n">
        <v>45352</v>
      </c>
      <c r="D1108" t="inlineStr">
        <is>
          <t>Ahmed Hassan</t>
        </is>
      </c>
      <c r="E1108" t="n">
        <v>117</v>
      </c>
      <c r="F1108" t="n">
        <v>2442</v>
      </c>
      <c r="G1108" t="n">
        <v>2562</v>
      </c>
      <c r="H1108" s="23" t="n">
        <v>285714</v>
      </c>
      <c r="I1108" s="23" t="n">
        <v>299754</v>
      </c>
      <c r="J1108" t="inlineStr">
        <is>
          <t>Mar</t>
        </is>
      </c>
      <c r="K1108" t="n">
        <v>3</v>
      </c>
      <c r="L1108" t="inlineStr">
        <is>
          <t>Q1</t>
        </is>
      </c>
      <c r="M1108" t="n">
        <v>2024</v>
      </c>
      <c r="N1108" s="22" t="n">
        <v>45352</v>
      </c>
      <c r="O1108" s="24" t="n">
        <v>0.9531615925058547</v>
      </c>
      <c r="P1108" s="23" t="n">
        <v>-14040</v>
      </c>
    </row>
    <row r="1109">
      <c r="A1109" t="inlineStr">
        <is>
          <t>Augmentin 625 MG</t>
        </is>
      </c>
      <c r="B1109" t="inlineStr">
        <is>
          <t>Alexandria 1</t>
        </is>
      </c>
      <c r="C1109" s="22" t="n">
        <v>45383</v>
      </c>
      <c r="D1109" t="inlineStr">
        <is>
          <t>Ahmed Hassan</t>
        </is>
      </c>
      <c r="E1109" t="n">
        <v>117</v>
      </c>
      <c r="F1109" t="n">
        <v>3140</v>
      </c>
      <c r="G1109" t="n">
        <v>3000</v>
      </c>
      <c r="H1109" s="23" t="n">
        <v>367380</v>
      </c>
      <c r="I1109" s="23" t="n">
        <v>351000</v>
      </c>
      <c r="J1109" t="inlineStr">
        <is>
          <t>Apr</t>
        </is>
      </c>
      <c r="K1109" t="n">
        <v>4</v>
      </c>
      <c r="L1109" t="inlineStr">
        <is>
          <t>Q2</t>
        </is>
      </c>
      <c r="M1109" t="n">
        <v>2024</v>
      </c>
      <c r="N1109" s="22" t="n">
        <v>45383</v>
      </c>
      <c r="O1109" s="24" t="n">
        <v>1.046666666666667</v>
      </c>
      <c r="P1109" s="23" t="n">
        <v>16380</v>
      </c>
    </row>
    <row r="1110">
      <c r="A1110" t="inlineStr">
        <is>
          <t>Augmentin 625 MG</t>
        </is>
      </c>
      <c r="B1110" t="inlineStr">
        <is>
          <t>Alexandria 1</t>
        </is>
      </c>
      <c r="C1110" s="22" t="n">
        <v>45413</v>
      </c>
      <c r="D1110" t="inlineStr">
        <is>
          <t>Ahmed Hassan</t>
        </is>
      </c>
      <c r="E1110" t="n">
        <v>117</v>
      </c>
      <c r="F1110" t="n">
        <v>3652</v>
      </c>
      <c r="G1110" t="n">
        <v>3579</v>
      </c>
      <c r="H1110" s="23" t="n">
        <v>427284</v>
      </c>
      <c r="I1110" s="23" t="n">
        <v>418743</v>
      </c>
      <c r="J1110" t="inlineStr">
        <is>
          <t>May</t>
        </is>
      </c>
      <c r="K1110" t="n">
        <v>5</v>
      </c>
      <c r="L1110" t="inlineStr">
        <is>
          <t>Q2</t>
        </is>
      </c>
      <c r="M1110" t="n">
        <v>2024</v>
      </c>
      <c r="N1110" s="22" t="n">
        <v>45413</v>
      </c>
      <c r="O1110" s="24" t="n">
        <v>1.020396758871193</v>
      </c>
      <c r="P1110" s="23" t="n">
        <v>8541</v>
      </c>
    </row>
    <row r="1111">
      <c r="A1111" t="inlineStr">
        <is>
          <t>Augmentin 625 MG</t>
        </is>
      </c>
      <c r="B1111" t="inlineStr">
        <is>
          <t>Alexandria 1</t>
        </is>
      </c>
      <c r="C1111" s="22" t="n">
        <v>45444</v>
      </c>
      <c r="D1111" t="inlineStr">
        <is>
          <t>Ahmed Hassan</t>
        </is>
      </c>
      <c r="E1111" t="n">
        <v>117</v>
      </c>
      <c r="F1111" t="n">
        <v>2887</v>
      </c>
      <c r="G1111" t="n">
        <v>2200</v>
      </c>
      <c r="H1111" s="23" t="n">
        <v>337779</v>
      </c>
      <c r="I1111" s="23" t="n">
        <v>257400</v>
      </c>
      <c r="J1111" t="inlineStr">
        <is>
          <t>Jun</t>
        </is>
      </c>
      <c r="K1111" t="n">
        <v>6</v>
      </c>
      <c r="L1111" t="inlineStr">
        <is>
          <t>Q2</t>
        </is>
      </c>
      <c r="M1111" t="n">
        <v>2024</v>
      </c>
      <c r="N1111" s="22" t="n">
        <v>45444</v>
      </c>
      <c r="O1111" s="24" t="n">
        <v>1.312272727272727</v>
      </c>
      <c r="P1111" s="23" t="n">
        <v>80379</v>
      </c>
    </row>
    <row r="1112">
      <c r="A1112" t="inlineStr">
        <is>
          <t>Augmentin 625 MG</t>
        </is>
      </c>
      <c r="B1112" t="inlineStr">
        <is>
          <t>Alexandria 1</t>
        </is>
      </c>
      <c r="C1112" s="22" t="n">
        <v>45474</v>
      </c>
      <c r="D1112" t="inlineStr">
        <is>
          <t>Ahmed Hassan</t>
        </is>
      </c>
      <c r="E1112" t="n">
        <v>117</v>
      </c>
      <c r="F1112" t="n">
        <v>3713</v>
      </c>
      <c r="G1112" t="n">
        <v>3796</v>
      </c>
      <c r="H1112" s="23" t="n">
        <v>434421</v>
      </c>
      <c r="I1112" s="23" t="n">
        <v>444132</v>
      </c>
      <c r="J1112" t="inlineStr">
        <is>
          <t>Jul</t>
        </is>
      </c>
      <c r="K1112" t="n">
        <v>7</v>
      </c>
      <c r="L1112" t="inlineStr">
        <is>
          <t>Q3</t>
        </is>
      </c>
      <c r="M1112" t="n">
        <v>2024</v>
      </c>
      <c r="N1112" s="22" t="n">
        <v>45474</v>
      </c>
      <c r="O1112" s="24" t="n">
        <v>0.9781348788198103</v>
      </c>
      <c r="P1112" s="23" t="n">
        <v>-9711</v>
      </c>
    </row>
    <row r="1113">
      <c r="A1113" t="inlineStr">
        <is>
          <t>Augmentin 625 MG</t>
        </is>
      </c>
      <c r="B1113" t="inlineStr">
        <is>
          <t>Alexandria 1</t>
        </is>
      </c>
      <c r="C1113" s="22" t="n">
        <v>45505</v>
      </c>
      <c r="D1113" t="inlineStr">
        <is>
          <t>Ahmed Hassan</t>
        </is>
      </c>
      <c r="E1113" t="n">
        <v>117</v>
      </c>
      <c r="F1113" t="n">
        <v>2685</v>
      </c>
      <c r="G1113" t="n">
        <v>2612</v>
      </c>
      <c r="H1113" s="23" t="n">
        <v>314145</v>
      </c>
      <c r="I1113" s="23" t="n">
        <v>305604</v>
      </c>
      <c r="J1113" t="inlineStr">
        <is>
          <t>Aug</t>
        </is>
      </c>
      <c r="K1113" t="n">
        <v>8</v>
      </c>
      <c r="L1113" t="inlineStr">
        <is>
          <t>Q3</t>
        </is>
      </c>
      <c r="M1113" t="n">
        <v>2024</v>
      </c>
      <c r="N1113" s="22" t="n">
        <v>45505</v>
      </c>
      <c r="O1113" s="24" t="n">
        <v>1.027947932618683</v>
      </c>
      <c r="P1113" s="23" t="n">
        <v>8541</v>
      </c>
    </row>
    <row r="1114">
      <c r="A1114" t="inlineStr">
        <is>
          <t>Augmentin 625 MG</t>
        </is>
      </c>
      <c r="B1114" t="inlineStr">
        <is>
          <t>Alexandria 1</t>
        </is>
      </c>
      <c r="C1114" s="22" t="n">
        <v>45536</v>
      </c>
      <c r="D1114" t="inlineStr">
        <is>
          <t>Ahmed Hassan</t>
        </is>
      </c>
      <c r="E1114" t="n">
        <v>117</v>
      </c>
      <c r="F1114" t="n">
        <v>3268</v>
      </c>
      <c r="G1114" t="n">
        <v>3020</v>
      </c>
      <c r="H1114" s="23" t="n">
        <v>382356</v>
      </c>
      <c r="I1114" s="23" t="n">
        <v>353340</v>
      </c>
      <c r="J1114" t="inlineStr">
        <is>
          <t>Sep</t>
        </is>
      </c>
      <c r="K1114" t="n">
        <v>9</v>
      </c>
      <c r="L1114" t="inlineStr">
        <is>
          <t>Q3</t>
        </is>
      </c>
      <c r="M1114" t="n">
        <v>2024</v>
      </c>
      <c r="N1114" s="22" t="n">
        <v>45536</v>
      </c>
      <c r="O1114" s="24" t="n">
        <v>1.082119205298013</v>
      </c>
      <c r="P1114" s="23" t="n">
        <v>29016</v>
      </c>
    </row>
    <row r="1115">
      <c r="A1115" t="inlineStr">
        <is>
          <t>Augmentin 625 MG</t>
        </is>
      </c>
      <c r="B1115" t="inlineStr">
        <is>
          <t>Alexandria 1</t>
        </is>
      </c>
      <c r="C1115" s="22" t="n">
        <v>45566</v>
      </c>
      <c r="D1115" t="inlineStr">
        <is>
          <t>Ahmed Hassan</t>
        </is>
      </c>
      <c r="E1115" t="n">
        <v>117</v>
      </c>
      <c r="F1115" t="n">
        <v>2333</v>
      </c>
      <c r="G1115" t="n">
        <v>2645</v>
      </c>
      <c r="H1115" s="23" t="n">
        <v>272961</v>
      </c>
      <c r="I1115" s="23" t="n">
        <v>309465</v>
      </c>
      <c r="J1115" t="inlineStr">
        <is>
          <t>Oct</t>
        </is>
      </c>
      <c r="K1115" t="n">
        <v>10</v>
      </c>
      <c r="L1115" t="inlineStr">
        <is>
          <t>Q4</t>
        </is>
      </c>
      <c r="M1115" t="n">
        <v>2024</v>
      </c>
      <c r="N1115" s="22" t="n">
        <v>45566</v>
      </c>
      <c r="O1115" s="24" t="n">
        <v>0.8820415879017013</v>
      </c>
      <c r="P1115" s="23" t="n">
        <v>-36504</v>
      </c>
    </row>
    <row r="1116">
      <c r="A1116" t="inlineStr">
        <is>
          <t>Augmentin 625 MG</t>
        </is>
      </c>
      <c r="B1116" t="inlineStr">
        <is>
          <t>Alexandria 1</t>
        </is>
      </c>
      <c r="C1116" s="22" t="n">
        <v>45597</v>
      </c>
      <c r="D1116" t="inlineStr">
        <is>
          <t>Ahmed Hassan</t>
        </is>
      </c>
      <c r="E1116" t="n">
        <v>117</v>
      </c>
      <c r="F1116" t="n">
        <v>3069</v>
      </c>
      <c r="G1116" t="n">
        <v>3382</v>
      </c>
      <c r="H1116" s="23" t="n">
        <v>359073</v>
      </c>
      <c r="I1116" s="23" t="n">
        <v>395694</v>
      </c>
      <c r="J1116" t="inlineStr">
        <is>
          <t>Nov</t>
        </is>
      </c>
      <c r="K1116" t="n">
        <v>11</v>
      </c>
      <c r="L1116" t="inlineStr">
        <is>
          <t>Q4</t>
        </is>
      </c>
      <c r="M1116" t="n">
        <v>2024</v>
      </c>
      <c r="N1116" s="22" t="n">
        <v>45597</v>
      </c>
      <c r="O1116" s="24" t="n">
        <v>0.9074512123004139</v>
      </c>
      <c r="P1116" s="23" t="n">
        <v>-36621</v>
      </c>
    </row>
    <row r="1117">
      <c r="A1117" t="inlineStr">
        <is>
          <t>Augmentin 625 MG</t>
        </is>
      </c>
      <c r="B1117" t="inlineStr">
        <is>
          <t>Alexandria 1</t>
        </is>
      </c>
      <c r="C1117" s="22" t="n">
        <v>45627</v>
      </c>
      <c r="D1117" t="inlineStr">
        <is>
          <t>Ahmed Hassan</t>
        </is>
      </c>
      <c r="E1117" t="n">
        <v>117</v>
      </c>
      <c r="F1117" t="n">
        <v>3019</v>
      </c>
      <c r="G1117" t="n">
        <v>3291</v>
      </c>
      <c r="H1117" s="23" t="n">
        <v>353223</v>
      </c>
      <c r="I1117" s="23" t="n">
        <v>385047</v>
      </c>
      <c r="J1117" t="inlineStr">
        <is>
          <t>Dec</t>
        </is>
      </c>
      <c r="K1117" t="n">
        <v>12</v>
      </c>
      <c r="L1117" t="inlineStr">
        <is>
          <t>Q4</t>
        </is>
      </c>
      <c r="M1117" t="n">
        <v>2024</v>
      </c>
      <c r="N1117" s="22" t="n">
        <v>45627</v>
      </c>
      <c r="O1117" s="24" t="n">
        <v>0.9173503494378609</v>
      </c>
      <c r="P1117" s="23" t="n">
        <v>-31824</v>
      </c>
    </row>
    <row r="1118">
      <c r="A1118" t="inlineStr">
        <is>
          <t>Augmentin 625 MG</t>
        </is>
      </c>
      <c r="B1118" t="inlineStr">
        <is>
          <t>Alexandria 2</t>
        </is>
      </c>
      <c r="C1118" s="22" t="n">
        <v>45292</v>
      </c>
      <c r="D1118" t="inlineStr">
        <is>
          <t>Amira Mostafa</t>
        </is>
      </c>
      <c r="E1118" t="n">
        <v>117</v>
      </c>
      <c r="F1118" t="n">
        <v>2254</v>
      </c>
      <c r="G1118" t="n">
        <v>2578</v>
      </c>
      <c r="H1118" s="23" t="n">
        <v>263718</v>
      </c>
      <c r="I1118" s="23" t="n">
        <v>301626</v>
      </c>
      <c r="J1118" t="inlineStr">
        <is>
          <t>Jan</t>
        </is>
      </c>
      <c r="K1118" t="n">
        <v>1</v>
      </c>
      <c r="L1118" t="inlineStr">
        <is>
          <t>Q1</t>
        </is>
      </c>
      <c r="M1118" t="n">
        <v>2024</v>
      </c>
      <c r="N1118" s="22" t="n">
        <v>45292</v>
      </c>
      <c r="O1118" s="24" t="n">
        <v>0.8743211792086889</v>
      </c>
      <c r="P1118" s="23" t="n">
        <v>-37908</v>
      </c>
    </row>
    <row r="1119">
      <c r="A1119" t="inlineStr">
        <is>
          <t>Augmentin 625 MG</t>
        </is>
      </c>
      <c r="B1119" t="inlineStr">
        <is>
          <t>Alexandria 2</t>
        </is>
      </c>
      <c r="C1119" s="22" t="n">
        <v>45323</v>
      </c>
      <c r="D1119" t="inlineStr">
        <is>
          <t>Amira Mostafa</t>
        </is>
      </c>
      <c r="E1119" t="n">
        <v>117</v>
      </c>
      <c r="F1119" t="n">
        <v>2241</v>
      </c>
      <c r="G1119" t="n">
        <v>2195</v>
      </c>
      <c r="H1119" s="23" t="n">
        <v>262197</v>
      </c>
      <c r="I1119" s="23" t="n">
        <v>256815</v>
      </c>
      <c r="J1119" t="inlineStr">
        <is>
          <t>Feb</t>
        </is>
      </c>
      <c r="K1119" t="n">
        <v>2</v>
      </c>
      <c r="L1119" t="inlineStr">
        <is>
          <t>Q1</t>
        </is>
      </c>
      <c r="M1119" t="n">
        <v>2024</v>
      </c>
      <c r="N1119" s="22" t="n">
        <v>45323</v>
      </c>
      <c r="O1119" s="24" t="n">
        <v>1.020956719817768</v>
      </c>
      <c r="P1119" s="23" t="n">
        <v>5382</v>
      </c>
    </row>
    <row r="1120">
      <c r="A1120" t="inlineStr">
        <is>
          <t>Augmentin 625 MG</t>
        </is>
      </c>
      <c r="B1120" t="inlineStr">
        <is>
          <t>Alexandria 2</t>
        </is>
      </c>
      <c r="C1120" s="22" t="n">
        <v>45352</v>
      </c>
      <c r="D1120" t="inlineStr">
        <is>
          <t>Amira Mostafa</t>
        </is>
      </c>
      <c r="E1120" t="n">
        <v>117</v>
      </c>
      <c r="F1120" t="n">
        <v>2888</v>
      </c>
      <c r="G1120" t="n">
        <v>2843</v>
      </c>
      <c r="H1120" s="23" t="n">
        <v>337896</v>
      </c>
      <c r="I1120" s="23" t="n">
        <v>332631</v>
      </c>
      <c r="J1120" t="inlineStr">
        <is>
          <t>Mar</t>
        </is>
      </c>
      <c r="K1120" t="n">
        <v>3</v>
      </c>
      <c r="L1120" t="inlineStr">
        <is>
          <t>Q1</t>
        </is>
      </c>
      <c r="M1120" t="n">
        <v>2024</v>
      </c>
      <c r="N1120" s="22" t="n">
        <v>45352</v>
      </c>
      <c r="O1120" s="24" t="n">
        <v>1.015828350334154</v>
      </c>
      <c r="P1120" s="23" t="n">
        <v>5265</v>
      </c>
    </row>
    <row r="1121">
      <c r="A1121" t="inlineStr">
        <is>
          <t>Augmentin 625 MG</t>
        </is>
      </c>
      <c r="B1121" t="inlineStr">
        <is>
          <t>Alexandria 2</t>
        </is>
      </c>
      <c r="C1121" s="22" t="n">
        <v>45383</v>
      </c>
      <c r="D1121" t="inlineStr">
        <is>
          <t>Amira Mostafa</t>
        </is>
      </c>
      <c r="E1121" t="n">
        <v>117</v>
      </c>
      <c r="F1121" t="n">
        <v>2514</v>
      </c>
      <c r="G1121" t="n">
        <v>2362</v>
      </c>
      <c r="H1121" s="23" t="n">
        <v>294138</v>
      </c>
      <c r="I1121" s="23" t="n">
        <v>276354</v>
      </c>
      <c r="J1121" t="inlineStr">
        <is>
          <t>Apr</t>
        </is>
      </c>
      <c r="K1121" t="n">
        <v>4</v>
      </c>
      <c r="L1121" t="inlineStr">
        <is>
          <t>Q2</t>
        </is>
      </c>
      <c r="M1121" t="n">
        <v>2024</v>
      </c>
      <c r="N1121" s="22" t="n">
        <v>45383</v>
      </c>
      <c r="O1121" s="24" t="n">
        <v>1.064352243861135</v>
      </c>
      <c r="P1121" s="23" t="n">
        <v>17784</v>
      </c>
    </row>
    <row r="1122">
      <c r="A1122" t="inlineStr">
        <is>
          <t>Augmentin 625 MG</t>
        </is>
      </c>
      <c r="B1122" t="inlineStr">
        <is>
          <t>Alexandria 2</t>
        </is>
      </c>
      <c r="C1122" s="22" t="n">
        <v>45413</v>
      </c>
      <c r="D1122" t="inlineStr">
        <is>
          <t>Amira Mostafa</t>
        </is>
      </c>
      <c r="E1122" t="n">
        <v>117</v>
      </c>
      <c r="F1122" t="n">
        <v>2291</v>
      </c>
      <c r="G1122" t="n">
        <v>2603</v>
      </c>
      <c r="H1122" s="23" t="n">
        <v>268047</v>
      </c>
      <c r="I1122" s="23" t="n">
        <v>304551</v>
      </c>
      <c r="J1122" t="inlineStr">
        <is>
          <t>May</t>
        </is>
      </c>
      <c r="K1122" t="n">
        <v>5</v>
      </c>
      <c r="L1122" t="inlineStr">
        <is>
          <t>Q2</t>
        </is>
      </c>
      <c r="M1122" t="n">
        <v>2024</v>
      </c>
      <c r="N1122" s="22" t="n">
        <v>45413</v>
      </c>
      <c r="O1122" s="24" t="n">
        <v>0.8801383019592778</v>
      </c>
      <c r="P1122" s="23" t="n">
        <v>-36504</v>
      </c>
    </row>
    <row r="1123">
      <c r="A1123" t="inlineStr">
        <is>
          <t>Augmentin 625 MG</t>
        </is>
      </c>
      <c r="B1123" t="inlineStr">
        <is>
          <t>Alexandria 2</t>
        </is>
      </c>
      <c r="C1123" s="22" t="n">
        <v>45444</v>
      </c>
      <c r="D1123" t="inlineStr">
        <is>
          <t>Amira Mostafa</t>
        </is>
      </c>
      <c r="E1123" t="n">
        <v>117</v>
      </c>
      <c r="F1123" t="n">
        <v>3626</v>
      </c>
      <c r="G1123" t="n">
        <v>3125</v>
      </c>
      <c r="H1123" s="23" t="n">
        <v>424242</v>
      </c>
      <c r="I1123" s="23" t="n">
        <v>365625</v>
      </c>
      <c r="J1123" t="inlineStr">
        <is>
          <t>Jun</t>
        </is>
      </c>
      <c r="K1123" t="n">
        <v>6</v>
      </c>
      <c r="L1123" t="inlineStr">
        <is>
          <t>Q2</t>
        </is>
      </c>
      <c r="M1123" t="n">
        <v>2024</v>
      </c>
      <c r="N1123" s="22" t="n">
        <v>45444</v>
      </c>
      <c r="O1123" s="24" t="n">
        <v>1.16032</v>
      </c>
      <c r="P1123" s="23" t="n">
        <v>58617</v>
      </c>
    </row>
    <row r="1124">
      <c r="A1124" t="inlineStr">
        <is>
          <t>Augmentin 625 MG</t>
        </is>
      </c>
      <c r="B1124" t="inlineStr">
        <is>
          <t>Alexandria 2</t>
        </is>
      </c>
      <c r="C1124" s="22" t="n">
        <v>45474</v>
      </c>
      <c r="D1124" t="inlineStr">
        <is>
          <t>Amira Mostafa</t>
        </is>
      </c>
      <c r="E1124" t="n">
        <v>117</v>
      </c>
      <c r="F1124" t="n">
        <v>3260</v>
      </c>
      <c r="G1124" t="n">
        <v>3233</v>
      </c>
      <c r="H1124" s="23" t="n">
        <v>381420</v>
      </c>
      <c r="I1124" s="23" t="n">
        <v>378261</v>
      </c>
      <c r="J1124" t="inlineStr">
        <is>
          <t>Jul</t>
        </is>
      </c>
      <c r="K1124" t="n">
        <v>7</v>
      </c>
      <c r="L1124" t="inlineStr">
        <is>
          <t>Q3</t>
        </is>
      </c>
      <c r="M1124" t="n">
        <v>2024</v>
      </c>
      <c r="N1124" s="22" t="n">
        <v>45474</v>
      </c>
      <c r="O1124" s="24" t="n">
        <v>1.00835137643056</v>
      </c>
      <c r="P1124" s="23" t="n">
        <v>3159</v>
      </c>
    </row>
    <row r="1125">
      <c r="A1125" t="inlineStr">
        <is>
          <t>Augmentin 625 MG</t>
        </is>
      </c>
      <c r="B1125" t="inlineStr">
        <is>
          <t>Alexandria 2</t>
        </is>
      </c>
      <c r="C1125" s="22" t="n">
        <v>45505</v>
      </c>
      <c r="D1125" t="inlineStr">
        <is>
          <t>Amira Mostafa</t>
        </is>
      </c>
      <c r="E1125" t="n">
        <v>117</v>
      </c>
      <c r="F1125" t="n">
        <v>2442</v>
      </c>
      <c r="G1125" t="n">
        <v>2665</v>
      </c>
      <c r="H1125" s="23" t="n">
        <v>285714</v>
      </c>
      <c r="I1125" s="23" t="n">
        <v>311805</v>
      </c>
      <c r="J1125" t="inlineStr">
        <is>
          <t>Aug</t>
        </is>
      </c>
      <c r="K1125" t="n">
        <v>8</v>
      </c>
      <c r="L1125" t="inlineStr">
        <is>
          <t>Q3</t>
        </is>
      </c>
      <c r="M1125" t="n">
        <v>2024</v>
      </c>
      <c r="N1125" s="22" t="n">
        <v>45505</v>
      </c>
      <c r="O1125" s="24" t="n">
        <v>0.9163227016885553</v>
      </c>
      <c r="P1125" s="23" t="n">
        <v>-26091</v>
      </c>
    </row>
    <row r="1126">
      <c r="A1126" t="inlineStr">
        <is>
          <t>Augmentin 625 MG</t>
        </is>
      </c>
      <c r="B1126" t="inlineStr">
        <is>
          <t>Alexandria 2</t>
        </is>
      </c>
      <c r="C1126" s="22" t="n">
        <v>45536</v>
      </c>
      <c r="D1126" t="inlineStr">
        <is>
          <t>Amira Mostafa</t>
        </is>
      </c>
      <c r="E1126" t="n">
        <v>117</v>
      </c>
      <c r="F1126" t="n">
        <v>3528</v>
      </c>
      <c r="G1126" t="n">
        <v>3914</v>
      </c>
      <c r="H1126" s="23" t="n">
        <v>412776</v>
      </c>
      <c r="I1126" s="23" t="n">
        <v>457938</v>
      </c>
      <c r="J1126" t="inlineStr">
        <is>
          <t>Sep</t>
        </is>
      </c>
      <c r="K1126" t="n">
        <v>9</v>
      </c>
      <c r="L1126" t="inlineStr">
        <is>
          <t>Q3</t>
        </is>
      </c>
      <c r="M1126" t="n">
        <v>2024</v>
      </c>
      <c r="N1126" s="22" t="n">
        <v>45536</v>
      </c>
      <c r="O1126" s="24" t="n">
        <v>0.9013796627491057</v>
      </c>
      <c r="P1126" s="23" t="n">
        <v>-45162</v>
      </c>
    </row>
    <row r="1127">
      <c r="A1127" t="inlineStr">
        <is>
          <t>Augmentin 625 MG</t>
        </is>
      </c>
      <c r="B1127" t="inlineStr">
        <is>
          <t>Alexandria 2</t>
        </is>
      </c>
      <c r="C1127" s="22" t="n">
        <v>45566</v>
      </c>
      <c r="D1127" t="inlineStr">
        <is>
          <t>Amira Mostafa</t>
        </is>
      </c>
      <c r="E1127" t="n">
        <v>117</v>
      </c>
      <c r="F1127" t="n">
        <v>3273</v>
      </c>
      <c r="G1127" t="n">
        <v>3245</v>
      </c>
      <c r="H1127" s="23" t="n">
        <v>382941</v>
      </c>
      <c r="I1127" s="23" t="n">
        <v>379665</v>
      </c>
      <c r="J1127" t="inlineStr">
        <is>
          <t>Oct</t>
        </is>
      </c>
      <c r="K1127" t="n">
        <v>10</v>
      </c>
      <c r="L1127" t="inlineStr">
        <is>
          <t>Q4</t>
        </is>
      </c>
      <c r="M1127" t="n">
        <v>2024</v>
      </c>
      <c r="N1127" s="22" t="n">
        <v>45566</v>
      </c>
      <c r="O1127" s="24" t="n">
        <v>1.008628659476117</v>
      </c>
      <c r="P1127" s="23" t="n">
        <v>3276</v>
      </c>
    </row>
    <row r="1128">
      <c r="A1128" t="inlineStr">
        <is>
          <t>Augmentin 625 MG</t>
        </is>
      </c>
      <c r="B1128" t="inlineStr">
        <is>
          <t>Alexandria 2</t>
        </is>
      </c>
      <c r="C1128" s="22" t="n">
        <v>45597</v>
      </c>
      <c r="D1128" t="inlineStr">
        <is>
          <t>Amira Mostafa</t>
        </is>
      </c>
      <c r="E1128" t="n">
        <v>117</v>
      </c>
      <c r="F1128" t="n">
        <v>2575</v>
      </c>
      <c r="G1128" t="n">
        <v>2832</v>
      </c>
      <c r="H1128" s="23" t="n">
        <v>301275</v>
      </c>
      <c r="I1128" s="23" t="n">
        <v>331344</v>
      </c>
      <c r="J1128" t="inlineStr">
        <is>
          <t>Nov</t>
        </is>
      </c>
      <c r="K1128" t="n">
        <v>11</v>
      </c>
      <c r="L1128" t="inlineStr">
        <is>
          <t>Q4</t>
        </is>
      </c>
      <c r="M1128" t="n">
        <v>2024</v>
      </c>
      <c r="N1128" s="22" t="n">
        <v>45597</v>
      </c>
      <c r="O1128" s="24" t="n">
        <v>0.9092514124293786</v>
      </c>
      <c r="P1128" s="23" t="n">
        <v>-30069</v>
      </c>
    </row>
    <row r="1129">
      <c r="A1129" t="inlineStr">
        <is>
          <t>Augmentin 625 MG</t>
        </is>
      </c>
      <c r="B1129" t="inlineStr">
        <is>
          <t>Alexandria 2</t>
        </is>
      </c>
      <c r="C1129" s="22" t="n">
        <v>45627</v>
      </c>
      <c r="D1129" t="inlineStr">
        <is>
          <t>Amira Mostafa</t>
        </is>
      </c>
      <c r="E1129" t="n">
        <v>117</v>
      </c>
      <c r="F1129" t="n">
        <v>2253</v>
      </c>
      <c r="G1129" t="n">
        <v>2490</v>
      </c>
      <c r="H1129" s="23" t="n">
        <v>263601</v>
      </c>
      <c r="I1129" s="23" t="n">
        <v>291330</v>
      </c>
      <c r="J1129" t="inlineStr">
        <is>
          <t>Dec</t>
        </is>
      </c>
      <c r="K1129" t="n">
        <v>12</v>
      </c>
      <c r="L1129" t="inlineStr">
        <is>
          <t>Q4</t>
        </is>
      </c>
      <c r="M1129" t="n">
        <v>2024</v>
      </c>
      <c r="N1129" s="22" t="n">
        <v>45627</v>
      </c>
      <c r="O1129" s="24" t="n">
        <v>0.9048192771084337</v>
      </c>
      <c r="P1129" s="23" t="n">
        <v>-27729</v>
      </c>
    </row>
    <row r="1130">
      <c r="A1130" t="inlineStr">
        <is>
          <t>Augmentin 625 MG</t>
        </is>
      </c>
      <c r="B1130" t="inlineStr">
        <is>
          <t>Cairo 1</t>
        </is>
      </c>
      <c r="C1130" s="22" t="n">
        <v>45292</v>
      </c>
      <c r="D1130" t="inlineStr">
        <is>
          <t>Fatma Ali</t>
        </is>
      </c>
      <c r="E1130" t="n">
        <v>117</v>
      </c>
      <c r="F1130" t="n">
        <v>3014</v>
      </c>
      <c r="G1130" t="n">
        <v>2943</v>
      </c>
      <c r="H1130" s="23" t="n">
        <v>352638</v>
      </c>
      <c r="I1130" s="23" t="n">
        <v>344331</v>
      </c>
      <c r="J1130" t="inlineStr">
        <is>
          <t>Jan</t>
        </is>
      </c>
      <c r="K1130" t="n">
        <v>1</v>
      </c>
      <c r="L1130" t="inlineStr">
        <is>
          <t>Q1</t>
        </is>
      </c>
      <c r="M1130" t="n">
        <v>2024</v>
      </c>
      <c r="N1130" s="22" t="n">
        <v>45292</v>
      </c>
      <c r="O1130" s="24" t="n">
        <v>1.024125042473666</v>
      </c>
      <c r="P1130" s="23" t="n">
        <v>8307</v>
      </c>
    </row>
    <row r="1131">
      <c r="A1131" t="inlineStr">
        <is>
          <t>Augmentin 625 MG</t>
        </is>
      </c>
      <c r="B1131" t="inlineStr">
        <is>
          <t>Cairo 1</t>
        </is>
      </c>
      <c r="C1131" s="22" t="n">
        <v>45323</v>
      </c>
      <c r="D1131" t="inlineStr">
        <is>
          <t>Fatma Ali</t>
        </is>
      </c>
      <c r="E1131" t="n">
        <v>117</v>
      </c>
      <c r="F1131" t="n">
        <v>1895</v>
      </c>
      <c r="G1131" t="n">
        <v>2140</v>
      </c>
      <c r="H1131" s="23" t="n">
        <v>221715</v>
      </c>
      <c r="I1131" s="23" t="n">
        <v>250380</v>
      </c>
      <c r="J1131" t="inlineStr">
        <is>
          <t>Feb</t>
        </is>
      </c>
      <c r="K1131" t="n">
        <v>2</v>
      </c>
      <c r="L1131" t="inlineStr">
        <is>
          <t>Q1</t>
        </is>
      </c>
      <c r="M1131" t="n">
        <v>2024</v>
      </c>
      <c r="N1131" s="22" t="n">
        <v>45323</v>
      </c>
      <c r="O1131" s="24" t="n">
        <v>0.8855140186915887</v>
      </c>
      <c r="P1131" s="23" t="n">
        <v>-28665</v>
      </c>
    </row>
    <row r="1132">
      <c r="A1132" t="inlineStr">
        <is>
          <t>Augmentin 625 MG</t>
        </is>
      </c>
      <c r="B1132" t="inlineStr">
        <is>
          <t>Cairo 1</t>
        </is>
      </c>
      <c r="C1132" s="22" t="n">
        <v>45352</v>
      </c>
      <c r="D1132" t="inlineStr">
        <is>
          <t>Fatma Ali</t>
        </is>
      </c>
      <c r="E1132" t="n">
        <v>117</v>
      </c>
      <c r="F1132" t="n">
        <v>2465</v>
      </c>
      <c r="G1132" t="n">
        <v>2643</v>
      </c>
      <c r="H1132" s="23" t="n">
        <v>288405</v>
      </c>
      <c r="I1132" s="23" t="n">
        <v>309231</v>
      </c>
      <c r="J1132" t="inlineStr">
        <is>
          <t>Mar</t>
        </is>
      </c>
      <c r="K1132" t="n">
        <v>3</v>
      </c>
      <c r="L1132" t="inlineStr">
        <is>
          <t>Q1</t>
        </is>
      </c>
      <c r="M1132" t="n">
        <v>2024</v>
      </c>
      <c r="N1132" s="22" t="n">
        <v>45352</v>
      </c>
      <c r="O1132" s="24" t="n">
        <v>0.9326522890654559</v>
      </c>
      <c r="P1132" s="23" t="n">
        <v>-20826</v>
      </c>
    </row>
    <row r="1133">
      <c r="A1133" t="inlineStr">
        <is>
          <t>Augmentin 625 MG</t>
        </is>
      </c>
      <c r="B1133" t="inlineStr">
        <is>
          <t>Cairo 1</t>
        </is>
      </c>
      <c r="C1133" s="22" t="n">
        <v>45383</v>
      </c>
      <c r="D1133" t="inlineStr">
        <is>
          <t>Fatma Ali</t>
        </is>
      </c>
      <c r="E1133" t="n">
        <v>117</v>
      </c>
      <c r="F1133" t="n">
        <v>2600</v>
      </c>
      <c r="G1133" t="n">
        <v>3845</v>
      </c>
      <c r="H1133" s="23" t="n">
        <v>304200</v>
      </c>
      <c r="I1133" s="23" t="n">
        <v>449865</v>
      </c>
      <c r="J1133" t="inlineStr">
        <is>
          <t>Apr</t>
        </is>
      </c>
      <c r="K1133" t="n">
        <v>4</v>
      </c>
      <c r="L1133" t="inlineStr">
        <is>
          <t>Q2</t>
        </is>
      </c>
      <c r="M1133" t="n">
        <v>2024</v>
      </c>
      <c r="N1133" s="22" t="n">
        <v>45383</v>
      </c>
      <c r="O1133" s="24" t="n">
        <v>0.6762028608582574</v>
      </c>
      <c r="P1133" s="23" t="n">
        <v>-145665</v>
      </c>
    </row>
    <row r="1134">
      <c r="A1134" t="inlineStr">
        <is>
          <t>Augmentin 625 MG</t>
        </is>
      </c>
      <c r="B1134" t="inlineStr">
        <is>
          <t>Cairo 1</t>
        </is>
      </c>
      <c r="C1134" s="22" t="n">
        <v>45413</v>
      </c>
      <c r="D1134" t="inlineStr">
        <is>
          <t>Fatma Ali</t>
        </is>
      </c>
      <c r="E1134" t="n">
        <v>117</v>
      </c>
      <c r="F1134" t="n">
        <v>2840</v>
      </c>
      <c r="G1134" t="n">
        <v>2583</v>
      </c>
      <c r="H1134" s="23" t="n">
        <v>332280</v>
      </c>
      <c r="I1134" s="23" t="n">
        <v>302211</v>
      </c>
      <c r="J1134" t="inlineStr">
        <is>
          <t>May</t>
        </is>
      </c>
      <c r="K1134" t="n">
        <v>5</v>
      </c>
      <c r="L1134" t="inlineStr">
        <is>
          <t>Q2</t>
        </is>
      </c>
      <c r="M1134" t="n">
        <v>2024</v>
      </c>
      <c r="N1134" s="22" t="n">
        <v>45413</v>
      </c>
      <c r="O1134" s="24" t="n">
        <v>1.099496709252807</v>
      </c>
      <c r="P1134" s="23" t="n">
        <v>30069</v>
      </c>
    </row>
    <row r="1135">
      <c r="A1135" t="inlineStr">
        <is>
          <t>Augmentin 625 MG</t>
        </is>
      </c>
      <c r="B1135" t="inlineStr">
        <is>
          <t>Cairo 1</t>
        </is>
      </c>
      <c r="C1135" s="22" t="n">
        <v>45444</v>
      </c>
      <c r="D1135" t="inlineStr">
        <is>
          <t>Fatma Ali</t>
        </is>
      </c>
      <c r="E1135" t="n">
        <v>117</v>
      </c>
      <c r="F1135" t="n">
        <v>3478</v>
      </c>
      <c r="G1135" t="n">
        <v>3584</v>
      </c>
      <c r="H1135" s="23" t="n">
        <v>406926</v>
      </c>
      <c r="I1135" s="23" t="n">
        <v>419328</v>
      </c>
      <c r="J1135" t="inlineStr">
        <is>
          <t>Jun</t>
        </is>
      </c>
      <c r="K1135" t="n">
        <v>6</v>
      </c>
      <c r="L1135" t="inlineStr">
        <is>
          <t>Q2</t>
        </is>
      </c>
      <c r="M1135" t="n">
        <v>2024</v>
      </c>
      <c r="N1135" s="22" t="n">
        <v>45444</v>
      </c>
      <c r="O1135" s="24" t="n">
        <v>0.9704241071428571</v>
      </c>
      <c r="P1135" s="23" t="n">
        <v>-12402</v>
      </c>
    </row>
    <row r="1136">
      <c r="A1136" t="inlineStr">
        <is>
          <t>Augmentin 625 MG</t>
        </is>
      </c>
      <c r="B1136" t="inlineStr">
        <is>
          <t>Cairo 1</t>
        </is>
      </c>
      <c r="C1136" s="22" t="n">
        <v>45474</v>
      </c>
      <c r="D1136" t="inlineStr">
        <is>
          <t>Fatma Ali</t>
        </is>
      </c>
      <c r="E1136" t="n">
        <v>117</v>
      </c>
      <c r="F1136" t="n">
        <v>3511</v>
      </c>
      <c r="G1136" t="n">
        <v>3343</v>
      </c>
      <c r="H1136" s="23" t="n">
        <v>410787</v>
      </c>
      <c r="I1136" s="23" t="n">
        <v>391131</v>
      </c>
      <c r="J1136" t="inlineStr">
        <is>
          <t>Jul</t>
        </is>
      </c>
      <c r="K1136" t="n">
        <v>7</v>
      </c>
      <c r="L1136" t="inlineStr">
        <is>
          <t>Q3</t>
        </is>
      </c>
      <c r="M1136" t="n">
        <v>2024</v>
      </c>
      <c r="N1136" s="22" t="n">
        <v>45474</v>
      </c>
      <c r="O1136" s="24" t="n">
        <v>1.050254262638349</v>
      </c>
      <c r="P1136" s="23" t="n">
        <v>19656</v>
      </c>
    </row>
    <row r="1137">
      <c r="A1137" t="inlineStr">
        <is>
          <t>Augmentin 625 MG</t>
        </is>
      </c>
      <c r="B1137" t="inlineStr">
        <is>
          <t>Cairo 1</t>
        </is>
      </c>
      <c r="C1137" s="22" t="n">
        <v>45505</v>
      </c>
      <c r="D1137" t="inlineStr">
        <is>
          <t>Fatma Ali</t>
        </is>
      </c>
      <c r="E1137" t="n">
        <v>117</v>
      </c>
      <c r="F1137" t="n">
        <v>2680</v>
      </c>
      <c r="G1137" t="n">
        <v>3005</v>
      </c>
      <c r="H1137" s="23" t="n">
        <v>313560</v>
      </c>
      <c r="I1137" s="23" t="n">
        <v>351585</v>
      </c>
      <c r="J1137" t="inlineStr">
        <is>
          <t>Aug</t>
        </is>
      </c>
      <c r="K1137" t="n">
        <v>8</v>
      </c>
      <c r="L1137" t="inlineStr">
        <is>
          <t>Q3</t>
        </is>
      </c>
      <c r="M1137" t="n">
        <v>2024</v>
      </c>
      <c r="N1137" s="22" t="n">
        <v>45505</v>
      </c>
      <c r="O1137" s="24" t="n">
        <v>0.891846921797005</v>
      </c>
      <c r="P1137" s="23" t="n">
        <v>-38025</v>
      </c>
    </row>
    <row r="1138">
      <c r="A1138" t="inlineStr">
        <is>
          <t>Augmentin 625 MG</t>
        </is>
      </c>
      <c r="B1138" t="inlineStr">
        <is>
          <t>Cairo 1</t>
        </is>
      </c>
      <c r="C1138" s="22" t="n">
        <v>45536</v>
      </c>
      <c r="D1138" t="inlineStr">
        <is>
          <t>Fatma Ali</t>
        </is>
      </c>
      <c r="E1138" t="n">
        <v>117</v>
      </c>
      <c r="F1138" t="n">
        <v>2652</v>
      </c>
      <c r="G1138" t="n">
        <v>2775</v>
      </c>
      <c r="H1138" s="23" t="n">
        <v>310284</v>
      </c>
      <c r="I1138" s="23" t="n">
        <v>324675</v>
      </c>
      <c r="J1138" t="inlineStr">
        <is>
          <t>Sep</t>
        </is>
      </c>
      <c r="K1138" t="n">
        <v>9</v>
      </c>
      <c r="L1138" t="inlineStr">
        <is>
          <t>Q3</t>
        </is>
      </c>
      <c r="M1138" t="n">
        <v>2024</v>
      </c>
      <c r="N1138" s="22" t="n">
        <v>45536</v>
      </c>
      <c r="O1138" s="24" t="n">
        <v>0.9556756756756757</v>
      </c>
      <c r="P1138" s="23" t="n">
        <v>-14391</v>
      </c>
    </row>
    <row r="1139">
      <c r="A1139" t="inlineStr">
        <is>
          <t>Augmentin 625 MG</t>
        </is>
      </c>
      <c r="B1139" t="inlineStr">
        <is>
          <t>Cairo 1</t>
        </is>
      </c>
      <c r="C1139" s="22" t="n">
        <v>45566</v>
      </c>
      <c r="D1139" t="inlineStr">
        <is>
          <t>Fatma Ali</t>
        </is>
      </c>
      <c r="E1139" t="n">
        <v>117</v>
      </c>
      <c r="F1139" t="n">
        <v>3500</v>
      </c>
      <c r="G1139" t="n">
        <v>3835</v>
      </c>
      <c r="H1139" s="23" t="n">
        <v>409500</v>
      </c>
      <c r="I1139" s="23" t="n">
        <v>448695</v>
      </c>
      <c r="J1139" t="inlineStr">
        <is>
          <t>Oct</t>
        </is>
      </c>
      <c r="K1139" t="n">
        <v>10</v>
      </c>
      <c r="L1139" t="inlineStr">
        <is>
          <t>Q4</t>
        </is>
      </c>
      <c r="M1139" t="n">
        <v>2024</v>
      </c>
      <c r="N1139" s="22" t="n">
        <v>45566</v>
      </c>
      <c r="O1139" s="24" t="n">
        <v>0.9126466753585397</v>
      </c>
      <c r="P1139" s="23" t="n">
        <v>-39195</v>
      </c>
    </row>
    <row r="1140">
      <c r="A1140" t="inlineStr">
        <is>
          <t>Augmentin 625 MG</t>
        </is>
      </c>
      <c r="B1140" t="inlineStr">
        <is>
          <t>Cairo 1</t>
        </is>
      </c>
      <c r="C1140" s="22" t="n">
        <v>45597</v>
      </c>
      <c r="D1140" t="inlineStr">
        <is>
          <t>Fatma Ali</t>
        </is>
      </c>
      <c r="E1140" t="n">
        <v>117</v>
      </c>
      <c r="F1140" t="n">
        <v>3246</v>
      </c>
      <c r="G1140" t="n">
        <v>3565</v>
      </c>
      <c r="H1140" s="23" t="n">
        <v>379782</v>
      </c>
      <c r="I1140" s="23" t="n">
        <v>417105</v>
      </c>
      <c r="J1140" t="inlineStr">
        <is>
          <t>Nov</t>
        </is>
      </c>
      <c r="K1140" t="n">
        <v>11</v>
      </c>
      <c r="L1140" t="inlineStr">
        <is>
          <t>Q4</t>
        </is>
      </c>
      <c r="M1140" t="n">
        <v>2024</v>
      </c>
      <c r="N1140" s="22" t="n">
        <v>45597</v>
      </c>
      <c r="O1140" s="24" t="n">
        <v>0.9105189340813464</v>
      </c>
      <c r="P1140" s="23" t="n">
        <v>-37323</v>
      </c>
    </row>
    <row r="1141">
      <c r="A1141" t="inlineStr">
        <is>
          <t>Augmentin 625 MG</t>
        </is>
      </c>
      <c r="B1141" t="inlineStr">
        <is>
          <t>Cairo 1</t>
        </is>
      </c>
      <c r="C1141" s="22" t="n">
        <v>45627</v>
      </c>
      <c r="D1141" t="inlineStr">
        <is>
          <t>Fatma Ali</t>
        </is>
      </c>
      <c r="E1141" t="n">
        <v>117</v>
      </c>
      <c r="F1141" t="n">
        <v>2332</v>
      </c>
      <c r="G1141" t="n">
        <v>2459</v>
      </c>
      <c r="H1141" s="23" t="n">
        <v>272844</v>
      </c>
      <c r="I1141" s="23" t="n">
        <v>287703</v>
      </c>
      <c r="J1141" t="inlineStr">
        <is>
          <t>Dec</t>
        </is>
      </c>
      <c r="K1141" t="n">
        <v>12</v>
      </c>
      <c r="L1141" t="inlineStr">
        <is>
          <t>Q4</t>
        </is>
      </c>
      <c r="M1141" t="n">
        <v>2024</v>
      </c>
      <c r="N1141" s="22" t="n">
        <v>45627</v>
      </c>
      <c r="O1141" s="24" t="n">
        <v>0.9483529890199268</v>
      </c>
      <c r="P1141" s="23" t="n">
        <v>-14859</v>
      </c>
    </row>
    <row r="1142">
      <c r="A1142" t="inlineStr">
        <is>
          <t>Augmentin 625 MG</t>
        </is>
      </c>
      <c r="B1142" t="inlineStr">
        <is>
          <t>Cairo 2</t>
        </is>
      </c>
      <c r="C1142" s="22" t="n">
        <v>45292</v>
      </c>
      <c r="D1142" t="inlineStr">
        <is>
          <t>Hassan El-Shamy</t>
        </is>
      </c>
      <c r="E1142" t="n">
        <v>117</v>
      </c>
      <c r="F1142" t="n">
        <v>3681</v>
      </c>
      <c r="G1142" t="n">
        <v>3896</v>
      </c>
      <c r="H1142" s="23" t="n">
        <v>430677</v>
      </c>
      <c r="I1142" s="23" t="n">
        <v>455832</v>
      </c>
      <c r="J1142" t="inlineStr">
        <is>
          <t>Jan</t>
        </is>
      </c>
      <c r="K1142" t="n">
        <v>1</v>
      </c>
      <c r="L1142" t="inlineStr">
        <is>
          <t>Q1</t>
        </is>
      </c>
      <c r="M1142" t="n">
        <v>2024</v>
      </c>
      <c r="N1142" s="22" t="n">
        <v>45292</v>
      </c>
      <c r="O1142" s="24" t="n">
        <v>0.9448151950718686</v>
      </c>
      <c r="P1142" s="23" t="n">
        <v>-25155</v>
      </c>
    </row>
    <row r="1143">
      <c r="A1143" t="inlineStr">
        <is>
          <t>Augmentin 625 MG</t>
        </is>
      </c>
      <c r="B1143" t="inlineStr">
        <is>
          <t>Cairo 2</t>
        </is>
      </c>
      <c r="C1143" s="22" t="n">
        <v>45323</v>
      </c>
      <c r="D1143" t="inlineStr">
        <is>
          <t>Hassan El-Shamy</t>
        </is>
      </c>
      <c r="E1143" t="n">
        <v>117</v>
      </c>
      <c r="F1143" t="n">
        <v>3028</v>
      </c>
      <c r="G1143" t="n">
        <v>3515</v>
      </c>
      <c r="H1143" s="23" t="n">
        <v>354276</v>
      </c>
      <c r="I1143" s="23" t="n">
        <v>411255</v>
      </c>
      <c r="J1143" t="inlineStr">
        <is>
          <t>Feb</t>
        </is>
      </c>
      <c r="K1143" t="n">
        <v>2</v>
      </c>
      <c r="L1143" t="inlineStr">
        <is>
          <t>Q1</t>
        </is>
      </c>
      <c r="M1143" t="n">
        <v>2024</v>
      </c>
      <c r="N1143" s="22" t="n">
        <v>45323</v>
      </c>
      <c r="O1143" s="24" t="n">
        <v>0.8614509246088193</v>
      </c>
      <c r="P1143" s="23" t="n">
        <v>-56979</v>
      </c>
    </row>
    <row r="1144">
      <c r="A1144" t="inlineStr">
        <is>
          <t>Augmentin 625 MG</t>
        </is>
      </c>
      <c r="B1144" t="inlineStr">
        <is>
          <t>Cairo 2</t>
        </is>
      </c>
      <c r="C1144" s="22" t="n">
        <v>45352</v>
      </c>
      <c r="D1144" t="inlineStr">
        <is>
          <t>Hassan El-Shamy</t>
        </is>
      </c>
      <c r="E1144" t="n">
        <v>117</v>
      </c>
      <c r="F1144" t="n">
        <v>2336</v>
      </c>
      <c r="G1144" t="n">
        <v>2440</v>
      </c>
      <c r="H1144" s="23" t="n">
        <v>273312</v>
      </c>
      <c r="I1144" s="23" t="n">
        <v>285480</v>
      </c>
      <c r="J1144" t="inlineStr">
        <is>
          <t>Mar</t>
        </is>
      </c>
      <c r="K1144" t="n">
        <v>3</v>
      </c>
      <c r="L1144" t="inlineStr">
        <is>
          <t>Q1</t>
        </is>
      </c>
      <c r="M1144" t="n">
        <v>2024</v>
      </c>
      <c r="N1144" s="22" t="n">
        <v>45352</v>
      </c>
      <c r="O1144" s="24" t="n">
        <v>0.9573770491803278</v>
      </c>
      <c r="P1144" s="23" t="n">
        <v>-12168</v>
      </c>
    </row>
    <row r="1145">
      <c r="A1145" t="inlineStr">
        <is>
          <t>Augmentin 625 MG</t>
        </is>
      </c>
      <c r="B1145" t="inlineStr">
        <is>
          <t>Cairo 2</t>
        </is>
      </c>
      <c r="C1145" s="22" t="n">
        <v>45383</v>
      </c>
      <c r="D1145" t="inlineStr">
        <is>
          <t>Hassan El-Shamy</t>
        </is>
      </c>
      <c r="E1145" t="n">
        <v>117</v>
      </c>
      <c r="F1145" t="n">
        <v>2286</v>
      </c>
      <c r="G1145" t="n">
        <v>2601</v>
      </c>
      <c r="H1145" s="23" t="n">
        <v>267462</v>
      </c>
      <c r="I1145" s="23" t="n">
        <v>304317</v>
      </c>
      <c r="J1145" t="inlineStr">
        <is>
          <t>Apr</t>
        </is>
      </c>
      <c r="K1145" t="n">
        <v>4</v>
      </c>
      <c r="L1145" t="inlineStr">
        <is>
          <t>Q2</t>
        </is>
      </c>
      <c r="M1145" t="n">
        <v>2024</v>
      </c>
      <c r="N1145" s="22" t="n">
        <v>45383</v>
      </c>
      <c r="O1145" s="24" t="n">
        <v>0.8788927335640139</v>
      </c>
      <c r="P1145" s="23" t="n">
        <v>-36855</v>
      </c>
    </row>
    <row r="1146">
      <c r="A1146" t="inlineStr">
        <is>
          <t>Augmentin 625 MG</t>
        </is>
      </c>
      <c r="B1146" t="inlineStr">
        <is>
          <t>Cairo 2</t>
        </is>
      </c>
      <c r="C1146" s="22" t="n">
        <v>45413</v>
      </c>
      <c r="D1146" t="inlineStr">
        <is>
          <t>Hassan El-Shamy</t>
        </is>
      </c>
      <c r="E1146" t="n">
        <v>117</v>
      </c>
      <c r="F1146" t="n">
        <v>3082</v>
      </c>
      <c r="G1146" t="n">
        <v>3574</v>
      </c>
      <c r="H1146" s="23" t="n">
        <v>360594</v>
      </c>
      <c r="I1146" s="23" t="n">
        <v>418158</v>
      </c>
      <c r="J1146" t="inlineStr">
        <is>
          <t>May</t>
        </is>
      </c>
      <c r="K1146" t="n">
        <v>5</v>
      </c>
      <c r="L1146" t="inlineStr">
        <is>
          <t>Q2</t>
        </is>
      </c>
      <c r="M1146" t="n">
        <v>2024</v>
      </c>
      <c r="N1146" s="22" t="n">
        <v>45413</v>
      </c>
      <c r="O1146" s="24" t="n">
        <v>0.8623391158365976</v>
      </c>
      <c r="P1146" s="23" t="n">
        <v>-57564</v>
      </c>
    </row>
    <row r="1147">
      <c r="A1147" t="inlineStr">
        <is>
          <t>Augmentin 625 MG</t>
        </is>
      </c>
      <c r="B1147" t="inlineStr">
        <is>
          <t>Cairo 2</t>
        </is>
      </c>
      <c r="C1147" s="22" t="n">
        <v>45444</v>
      </c>
      <c r="D1147" t="inlineStr">
        <is>
          <t>Hassan El-Shamy</t>
        </is>
      </c>
      <c r="E1147" t="n">
        <v>117</v>
      </c>
      <c r="F1147" t="n">
        <v>2585</v>
      </c>
      <c r="G1147" t="n">
        <v>2601</v>
      </c>
      <c r="H1147" s="23" t="n">
        <v>302445</v>
      </c>
      <c r="I1147" s="23" t="n">
        <v>304317</v>
      </c>
      <c r="J1147" t="inlineStr">
        <is>
          <t>Jun</t>
        </is>
      </c>
      <c r="K1147" t="n">
        <v>6</v>
      </c>
      <c r="L1147" t="inlineStr">
        <is>
          <t>Q2</t>
        </is>
      </c>
      <c r="M1147" t="n">
        <v>2024</v>
      </c>
      <c r="N1147" s="22" t="n">
        <v>45444</v>
      </c>
      <c r="O1147" s="24" t="n">
        <v>0.9938485198000769</v>
      </c>
      <c r="P1147" s="23" t="n">
        <v>-1872</v>
      </c>
    </row>
    <row r="1148">
      <c r="A1148" t="inlineStr">
        <is>
          <t>Augmentin 625 MG</t>
        </is>
      </c>
      <c r="B1148" t="inlineStr">
        <is>
          <t>Cairo 2</t>
        </is>
      </c>
      <c r="C1148" s="22" t="n">
        <v>45474</v>
      </c>
      <c r="D1148" t="inlineStr">
        <is>
          <t>Hassan El-Shamy</t>
        </is>
      </c>
      <c r="E1148" t="n">
        <v>117</v>
      </c>
      <c r="F1148" t="n">
        <v>2728</v>
      </c>
      <c r="G1148" t="n">
        <v>2593</v>
      </c>
      <c r="H1148" s="23" t="n">
        <v>319176</v>
      </c>
      <c r="I1148" s="23" t="n">
        <v>303381</v>
      </c>
      <c r="J1148" t="inlineStr">
        <is>
          <t>Jul</t>
        </is>
      </c>
      <c r="K1148" t="n">
        <v>7</v>
      </c>
      <c r="L1148" t="inlineStr">
        <is>
          <t>Q3</t>
        </is>
      </c>
      <c r="M1148" t="n">
        <v>2024</v>
      </c>
      <c r="N1148" s="22" t="n">
        <v>45474</v>
      </c>
      <c r="O1148" s="24" t="n">
        <v>1.052063247204011</v>
      </c>
      <c r="P1148" s="23" t="n">
        <v>15795</v>
      </c>
    </row>
    <row r="1149">
      <c r="A1149" t="inlineStr">
        <is>
          <t>Augmentin 625 MG</t>
        </is>
      </c>
      <c r="B1149" t="inlineStr">
        <is>
          <t>Cairo 2</t>
        </is>
      </c>
      <c r="C1149" s="22" t="n">
        <v>45505</v>
      </c>
      <c r="D1149" t="inlineStr">
        <is>
          <t>Hassan El-Shamy</t>
        </is>
      </c>
      <c r="E1149" t="n">
        <v>117</v>
      </c>
      <c r="F1149" t="n">
        <v>3167</v>
      </c>
      <c r="G1149" t="n">
        <v>2909</v>
      </c>
      <c r="H1149" s="23" t="n">
        <v>370539</v>
      </c>
      <c r="I1149" s="23" t="n">
        <v>340353</v>
      </c>
      <c r="J1149" t="inlineStr">
        <is>
          <t>Aug</t>
        </is>
      </c>
      <c r="K1149" t="n">
        <v>8</v>
      </c>
      <c r="L1149" t="inlineStr">
        <is>
          <t>Q3</t>
        </is>
      </c>
      <c r="M1149" t="n">
        <v>2024</v>
      </c>
      <c r="N1149" s="22" t="n">
        <v>45505</v>
      </c>
      <c r="O1149" s="24" t="n">
        <v>1.088690271570987</v>
      </c>
      <c r="P1149" s="23" t="n">
        <v>30186</v>
      </c>
    </row>
    <row r="1150">
      <c r="A1150" t="inlineStr">
        <is>
          <t>Augmentin 625 MG</t>
        </is>
      </c>
      <c r="B1150" t="inlineStr">
        <is>
          <t>Cairo 2</t>
        </is>
      </c>
      <c r="C1150" s="22" t="n">
        <v>45536</v>
      </c>
      <c r="D1150" t="inlineStr">
        <is>
          <t>Hassan El-Shamy</t>
        </is>
      </c>
      <c r="E1150" t="n">
        <v>117</v>
      </c>
      <c r="F1150" t="n">
        <v>2366</v>
      </c>
      <c r="G1150" t="n">
        <v>2234</v>
      </c>
      <c r="H1150" s="23" t="n">
        <v>276822</v>
      </c>
      <c r="I1150" s="23" t="n">
        <v>261378</v>
      </c>
      <c r="J1150" t="inlineStr">
        <is>
          <t>Sep</t>
        </is>
      </c>
      <c r="K1150" t="n">
        <v>9</v>
      </c>
      <c r="L1150" t="inlineStr">
        <is>
          <t>Q3</t>
        </is>
      </c>
      <c r="M1150" t="n">
        <v>2024</v>
      </c>
      <c r="N1150" s="22" t="n">
        <v>45536</v>
      </c>
      <c r="O1150" s="24" t="n">
        <v>1.059086839749328</v>
      </c>
      <c r="P1150" s="23" t="n">
        <v>15444</v>
      </c>
    </row>
    <row r="1151">
      <c r="A1151" t="inlineStr">
        <is>
          <t>Augmentin 625 MG</t>
        </is>
      </c>
      <c r="B1151" t="inlineStr">
        <is>
          <t>Cairo 2</t>
        </is>
      </c>
      <c r="C1151" s="22" t="n">
        <v>45566</v>
      </c>
      <c r="D1151" t="inlineStr">
        <is>
          <t>Hassan El-Shamy</t>
        </is>
      </c>
      <c r="E1151" t="n">
        <v>117</v>
      </c>
      <c r="F1151" t="n">
        <v>2364</v>
      </c>
      <c r="G1151" t="n">
        <v>2374</v>
      </c>
      <c r="H1151" s="23" t="n">
        <v>276588</v>
      </c>
      <c r="I1151" s="23" t="n">
        <v>277758</v>
      </c>
      <c r="J1151" t="inlineStr">
        <is>
          <t>Oct</t>
        </is>
      </c>
      <c r="K1151" t="n">
        <v>10</v>
      </c>
      <c r="L1151" t="inlineStr">
        <is>
          <t>Q4</t>
        </is>
      </c>
      <c r="M1151" t="n">
        <v>2024</v>
      </c>
      <c r="N1151" s="22" t="n">
        <v>45566</v>
      </c>
      <c r="O1151" s="24" t="n">
        <v>0.995787700084246</v>
      </c>
      <c r="P1151" s="23" t="n">
        <v>-1170</v>
      </c>
    </row>
    <row r="1152">
      <c r="A1152" t="inlineStr">
        <is>
          <t>Augmentin 625 MG</t>
        </is>
      </c>
      <c r="B1152" t="inlineStr">
        <is>
          <t>Cairo 2</t>
        </is>
      </c>
      <c r="C1152" s="22" t="n">
        <v>45597</v>
      </c>
      <c r="D1152" t="inlineStr">
        <is>
          <t>Hassan El-Shamy</t>
        </is>
      </c>
      <c r="E1152" t="n">
        <v>117</v>
      </c>
      <c r="F1152" t="n">
        <v>2500</v>
      </c>
      <c r="G1152" t="n">
        <v>2600</v>
      </c>
      <c r="H1152" s="23" t="n">
        <v>292500</v>
      </c>
      <c r="I1152" s="23" t="n">
        <v>304200</v>
      </c>
      <c r="J1152" t="inlineStr">
        <is>
          <t>Nov</t>
        </is>
      </c>
      <c r="K1152" t="n">
        <v>11</v>
      </c>
      <c r="L1152" t="inlineStr">
        <is>
          <t>Q4</t>
        </is>
      </c>
      <c r="M1152" t="n">
        <v>2024</v>
      </c>
      <c r="N1152" s="22" t="n">
        <v>45597</v>
      </c>
      <c r="O1152" s="24" t="n">
        <v>0.9615384615384616</v>
      </c>
      <c r="P1152" s="23" t="n">
        <v>-11700</v>
      </c>
    </row>
    <row r="1153">
      <c r="A1153" t="inlineStr">
        <is>
          <t>Augmentin 625 MG</t>
        </is>
      </c>
      <c r="B1153" t="inlineStr">
        <is>
          <t>Cairo 2</t>
        </is>
      </c>
      <c r="C1153" s="22" t="n">
        <v>45627</v>
      </c>
      <c r="D1153" t="inlineStr">
        <is>
          <t>Hassan El-Shamy</t>
        </is>
      </c>
      <c r="E1153" t="n">
        <v>117</v>
      </c>
      <c r="F1153" t="n">
        <v>2188</v>
      </c>
      <c r="G1153" t="n">
        <v>2125</v>
      </c>
      <c r="H1153" s="23" t="n">
        <v>255996</v>
      </c>
      <c r="I1153" s="23" t="n">
        <v>248625</v>
      </c>
      <c r="J1153" t="inlineStr">
        <is>
          <t>Dec</t>
        </is>
      </c>
      <c r="K1153" t="n">
        <v>12</v>
      </c>
      <c r="L1153" t="inlineStr">
        <is>
          <t>Q4</t>
        </is>
      </c>
      <c r="M1153" t="n">
        <v>2024</v>
      </c>
      <c r="N1153" s="22" t="n">
        <v>45627</v>
      </c>
      <c r="O1153" s="24" t="n">
        <v>1.029647058823529</v>
      </c>
      <c r="P1153" s="23" t="n">
        <v>7371</v>
      </c>
    </row>
    <row r="1154">
      <c r="A1154" t="inlineStr">
        <is>
          <t>Augmentin 625 MG</t>
        </is>
      </c>
      <c r="B1154" t="inlineStr">
        <is>
          <t>Suez</t>
        </is>
      </c>
      <c r="C1154" s="22" t="n">
        <v>45292</v>
      </c>
      <c r="D1154" t="inlineStr">
        <is>
          <t>Mohamed Mahmoud</t>
        </is>
      </c>
      <c r="E1154" t="n">
        <v>117</v>
      </c>
      <c r="F1154" t="n">
        <v>3657</v>
      </c>
      <c r="G1154" t="n">
        <v>3788</v>
      </c>
      <c r="H1154" s="23" t="n">
        <v>427869</v>
      </c>
      <c r="I1154" s="23" t="n">
        <v>443196</v>
      </c>
      <c r="J1154" t="inlineStr">
        <is>
          <t>Jan</t>
        </is>
      </c>
      <c r="K1154" t="n">
        <v>1</v>
      </c>
      <c r="L1154" t="inlineStr">
        <is>
          <t>Q1</t>
        </is>
      </c>
      <c r="M1154" t="n">
        <v>2024</v>
      </c>
      <c r="N1154" s="22" t="n">
        <v>45292</v>
      </c>
      <c r="O1154" s="24" t="n">
        <v>0.9654171066525871</v>
      </c>
      <c r="P1154" s="23" t="n">
        <v>-15327</v>
      </c>
    </row>
    <row r="1155">
      <c r="A1155" t="inlineStr">
        <is>
          <t>Augmentin 625 MG</t>
        </is>
      </c>
      <c r="B1155" t="inlineStr">
        <is>
          <t>Suez</t>
        </is>
      </c>
      <c r="C1155" s="22" t="n">
        <v>45323</v>
      </c>
      <c r="D1155" t="inlineStr">
        <is>
          <t>Mohamed Mahmoud</t>
        </is>
      </c>
      <c r="E1155" t="n">
        <v>117</v>
      </c>
      <c r="F1155" t="n">
        <v>1875</v>
      </c>
      <c r="G1155" t="n">
        <v>2090</v>
      </c>
      <c r="H1155" s="23" t="n">
        <v>219375</v>
      </c>
      <c r="I1155" s="23" t="n">
        <v>244530</v>
      </c>
      <c r="J1155" t="inlineStr">
        <is>
          <t>Feb</t>
        </is>
      </c>
      <c r="K1155" t="n">
        <v>2</v>
      </c>
      <c r="L1155" t="inlineStr">
        <is>
          <t>Q1</t>
        </is>
      </c>
      <c r="M1155" t="n">
        <v>2024</v>
      </c>
      <c r="N1155" s="22" t="n">
        <v>45323</v>
      </c>
      <c r="O1155" s="24" t="n">
        <v>0.8971291866028708</v>
      </c>
      <c r="P1155" s="23" t="n">
        <v>-25155</v>
      </c>
    </row>
    <row r="1156">
      <c r="A1156" t="inlineStr">
        <is>
          <t>Augmentin 625 MG</t>
        </is>
      </c>
      <c r="B1156" t="inlineStr">
        <is>
          <t>Suez</t>
        </is>
      </c>
      <c r="C1156" s="22" t="n">
        <v>45352</v>
      </c>
      <c r="D1156" t="inlineStr">
        <is>
          <t>Mohamed Mahmoud</t>
        </is>
      </c>
      <c r="E1156" t="n">
        <v>117</v>
      </c>
      <c r="F1156" t="n">
        <v>2258</v>
      </c>
      <c r="G1156" t="n">
        <v>2310</v>
      </c>
      <c r="H1156" s="23" t="n">
        <v>264186</v>
      </c>
      <c r="I1156" s="23" t="n">
        <v>270270</v>
      </c>
      <c r="J1156" t="inlineStr">
        <is>
          <t>Mar</t>
        </is>
      </c>
      <c r="K1156" t="n">
        <v>3</v>
      </c>
      <c r="L1156" t="inlineStr">
        <is>
          <t>Q1</t>
        </is>
      </c>
      <c r="M1156" t="n">
        <v>2024</v>
      </c>
      <c r="N1156" s="22" t="n">
        <v>45352</v>
      </c>
      <c r="O1156" s="24" t="n">
        <v>0.9774891774891775</v>
      </c>
      <c r="P1156" s="23" t="n">
        <v>-6084</v>
      </c>
    </row>
    <row r="1157">
      <c r="A1157" t="inlineStr">
        <is>
          <t>Augmentin 625 MG</t>
        </is>
      </c>
      <c r="B1157" t="inlineStr">
        <is>
          <t>Suez</t>
        </is>
      </c>
      <c r="C1157" s="22" t="n">
        <v>45383</v>
      </c>
      <c r="D1157" t="inlineStr">
        <is>
          <t>Mohamed Mahmoud</t>
        </is>
      </c>
      <c r="E1157" t="n">
        <v>117</v>
      </c>
      <c r="F1157" t="n">
        <v>3300</v>
      </c>
      <c r="G1157" t="n">
        <v>3625</v>
      </c>
      <c r="H1157" s="23" t="n">
        <v>386100</v>
      </c>
      <c r="I1157" s="23" t="n">
        <v>424125</v>
      </c>
      <c r="J1157" t="inlineStr">
        <is>
          <t>Apr</t>
        </is>
      </c>
      <c r="K1157" t="n">
        <v>4</v>
      </c>
      <c r="L1157" t="inlineStr">
        <is>
          <t>Q2</t>
        </is>
      </c>
      <c r="M1157" t="n">
        <v>2024</v>
      </c>
      <c r="N1157" s="22" t="n">
        <v>45383</v>
      </c>
      <c r="O1157" s="24" t="n">
        <v>0.9103448275862069</v>
      </c>
      <c r="P1157" s="23" t="n">
        <v>-38025</v>
      </c>
    </row>
    <row r="1158">
      <c r="A1158" t="inlineStr">
        <is>
          <t>Augmentin 625 MG</t>
        </is>
      </c>
      <c r="B1158" t="inlineStr">
        <is>
          <t>Suez</t>
        </is>
      </c>
      <c r="C1158" s="22" t="n">
        <v>45413</v>
      </c>
      <c r="D1158" t="inlineStr">
        <is>
          <t>Mohamed Mahmoud</t>
        </is>
      </c>
      <c r="E1158" t="n">
        <v>117</v>
      </c>
      <c r="F1158" t="n">
        <v>2901</v>
      </c>
      <c r="G1158" t="n">
        <v>2896</v>
      </c>
      <c r="H1158" s="23" t="n">
        <v>339417</v>
      </c>
      <c r="I1158" s="23" t="n">
        <v>338832</v>
      </c>
      <c r="J1158" t="inlineStr">
        <is>
          <t>May</t>
        </is>
      </c>
      <c r="K1158" t="n">
        <v>5</v>
      </c>
      <c r="L1158" t="inlineStr">
        <is>
          <t>Q2</t>
        </is>
      </c>
      <c r="M1158" t="n">
        <v>2024</v>
      </c>
      <c r="N1158" s="22" t="n">
        <v>45413</v>
      </c>
      <c r="O1158" s="24" t="n">
        <v>1.001726519337017</v>
      </c>
      <c r="P1158" s="23" t="n">
        <v>585</v>
      </c>
    </row>
    <row r="1159">
      <c r="A1159" t="inlineStr">
        <is>
          <t>Augmentin 625 MG</t>
        </is>
      </c>
      <c r="B1159" t="inlineStr">
        <is>
          <t>Suez</t>
        </is>
      </c>
      <c r="C1159" s="22" t="n">
        <v>45444</v>
      </c>
      <c r="D1159" t="inlineStr">
        <is>
          <t>Mohamed Mahmoud</t>
        </is>
      </c>
      <c r="E1159" t="n">
        <v>117</v>
      </c>
      <c r="F1159" t="n">
        <v>2864</v>
      </c>
      <c r="G1159" t="n">
        <v>2701</v>
      </c>
      <c r="H1159" s="23" t="n">
        <v>335088</v>
      </c>
      <c r="I1159" s="23" t="n">
        <v>316017</v>
      </c>
      <c r="J1159" t="inlineStr">
        <is>
          <t>Jun</t>
        </is>
      </c>
      <c r="K1159" t="n">
        <v>6</v>
      </c>
      <c r="L1159" t="inlineStr">
        <is>
          <t>Q2</t>
        </is>
      </c>
      <c r="M1159" t="n">
        <v>2024</v>
      </c>
      <c r="N1159" s="22" t="n">
        <v>45444</v>
      </c>
      <c r="O1159" s="24" t="n">
        <v>1.060348019252129</v>
      </c>
      <c r="P1159" s="23" t="n">
        <v>19071</v>
      </c>
    </row>
    <row r="1160">
      <c r="A1160" t="inlineStr">
        <is>
          <t>Augmentin 625 MG</t>
        </is>
      </c>
      <c r="B1160" t="inlineStr">
        <is>
          <t>Suez</t>
        </is>
      </c>
      <c r="C1160" s="22" t="n">
        <v>45474</v>
      </c>
      <c r="D1160" t="inlineStr">
        <is>
          <t>Mohamed Mahmoud</t>
        </is>
      </c>
      <c r="E1160" t="n">
        <v>117</v>
      </c>
      <c r="F1160" t="n">
        <v>3652</v>
      </c>
      <c r="G1160" t="n">
        <v>3776</v>
      </c>
      <c r="H1160" s="23" t="n">
        <v>427284</v>
      </c>
      <c r="I1160" s="23" t="n">
        <v>441792</v>
      </c>
      <c r="J1160" t="inlineStr">
        <is>
          <t>Jul</t>
        </is>
      </c>
      <c r="K1160" t="n">
        <v>7</v>
      </c>
      <c r="L1160" t="inlineStr">
        <is>
          <t>Q3</t>
        </is>
      </c>
      <c r="M1160" t="n">
        <v>2024</v>
      </c>
      <c r="N1160" s="22" t="n">
        <v>45474</v>
      </c>
      <c r="O1160" s="24" t="n">
        <v>0.9671610169491526</v>
      </c>
      <c r="P1160" s="23" t="n">
        <v>-14508</v>
      </c>
    </row>
    <row r="1161">
      <c r="A1161" t="inlineStr">
        <is>
          <t>Augmentin 625 MG</t>
        </is>
      </c>
      <c r="B1161" t="inlineStr">
        <is>
          <t>Suez</t>
        </is>
      </c>
      <c r="C1161" s="22" t="n">
        <v>45505</v>
      </c>
      <c r="D1161" t="inlineStr">
        <is>
          <t>Mohamed Mahmoud</t>
        </is>
      </c>
      <c r="E1161" t="n">
        <v>117</v>
      </c>
      <c r="F1161" t="n">
        <v>2773</v>
      </c>
      <c r="G1161" t="n">
        <v>2570</v>
      </c>
      <c r="H1161" s="23" t="n">
        <v>324441</v>
      </c>
      <c r="I1161" s="23" t="n">
        <v>300690</v>
      </c>
      <c r="J1161" t="inlineStr">
        <is>
          <t>Aug</t>
        </is>
      </c>
      <c r="K1161" t="n">
        <v>8</v>
      </c>
      <c r="L1161" t="inlineStr">
        <is>
          <t>Q3</t>
        </is>
      </c>
      <c r="M1161" t="n">
        <v>2024</v>
      </c>
      <c r="N1161" s="22" t="n">
        <v>45505</v>
      </c>
      <c r="O1161" s="24" t="n">
        <v>1.078988326848249</v>
      </c>
      <c r="P1161" s="23" t="n">
        <v>23751</v>
      </c>
    </row>
    <row r="1162">
      <c r="A1162" t="inlineStr">
        <is>
          <t>Augmentin 625 MG</t>
        </is>
      </c>
      <c r="B1162" t="inlineStr">
        <is>
          <t>Suez</t>
        </is>
      </c>
      <c r="C1162" s="22" t="n">
        <v>45536</v>
      </c>
      <c r="D1162" t="inlineStr">
        <is>
          <t>Mohamed Mahmoud</t>
        </is>
      </c>
      <c r="E1162" t="n">
        <v>117</v>
      </c>
      <c r="F1162" t="n">
        <v>2800</v>
      </c>
      <c r="G1162" t="n">
        <v>3125</v>
      </c>
      <c r="H1162" s="23" t="n">
        <v>327600</v>
      </c>
      <c r="I1162" s="23" t="n">
        <v>365625</v>
      </c>
      <c r="J1162" t="inlineStr">
        <is>
          <t>Sep</t>
        </is>
      </c>
      <c r="K1162" t="n">
        <v>9</v>
      </c>
      <c r="L1162" t="inlineStr">
        <is>
          <t>Q3</t>
        </is>
      </c>
      <c r="M1162" t="n">
        <v>2024</v>
      </c>
      <c r="N1162" s="22" t="n">
        <v>45536</v>
      </c>
      <c r="O1162" s="24" t="n">
        <v>0.896</v>
      </c>
      <c r="P1162" s="23" t="n">
        <v>-38025</v>
      </c>
    </row>
    <row r="1163">
      <c r="A1163" t="inlineStr">
        <is>
          <t>Augmentin 625 MG</t>
        </is>
      </c>
      <c r="B1163" t="inlineStr">
        <is>
          <t>Suez</t>
        </is>
      </c>
      <c r="C1163" s="22" t="n">
        <v>45566</v>
      </c>
      <c r="D1163" t="inlineStr">
        <is>
          <t>Mohamed Mahmoud</t>
        </is>
      </c>
      <c r="E1163" t="n">
        <v>117</v>
      </c>
      <c r="F1163" t="n">
        <v>2560</v>
      </c>
      <c r="G1163" t="n">
        <v>2825</v>
      </c>
      <c r="H1163" s="23" t="n">
        <v>299520</v>
      </c>
      <c r="I1163" s="23" t="n">
        <v>330525</v>
      </c>
      <c r="J1163" t="inlineStr">
        <is>
          <t>Oct</t>
        </is>
      </c>
      <c r="K1163" t="n">
        <v>10</v>
      </c>
      <c r="L1163" t="inlineStr">
        <is>
          <t>Q4</t>
        </is>
      </c>
      <c r="M1163" t="n">
        <v>2024</v>
      </c>
      <c r="N1163" s="22" t="n">
        <v>45566</v>
      </c>
      <c r="O1163" s="24" t="n">
        <v>0.9061946902654867</v>
      </c>
      <c r="P1163" s="23" t="n">
        <v>-31005</v>
      </c>
    </row>
    <row r="1164">
      <c r="A1164" t="inlineStr">
        <is>
          <t>Augmentin 625 MG</t>
        </is>
      </c>
      <c r="B1164" t="inlineStr">
        <is>
          <t>Suez</t>
        </is>
      </c>
      <c r="C1164" s="22" t="n">
        <v>45597</v>
      </c>
      <c r="D1164" t="inlineStr">
        <is>
          <t>Mohamed Mahmoud</t>
        </is>
      </c>
      <c r="E1164" t="n">
        <v>117</v>
      </c>
      <c r="F1164" t="n">
        <v>2265</v>
      </c>
      <c r="G1164" t="n">
        <v>2135</v>
      </c>
      <c r="H1164" s="23" t="n">
        <v>265005</v>
      </c>
      <c r="I1164" s="23" t="n">
        <v>249795</v>
      </c>
      <c r="J1164" t="inlineStr">
        <is>
          <t>Nov</t>
        </is>
      </c>
      <c r="K1164" t="n">
        <v>11</v>
      </c>
      <c r="L1164" t="inlineStr">
        <is>
          <t>Q4</t>
        </is>
      </c>
      <c r="M1164" t="n">
        <v>2024</v>
      </c>
      <c r="N1164" s="22" t="n">
        <v>45597</v>
      </c>
      <c r="O1164" s="24" t="n">
        <v>1.060889929742389</v>
      </c>
      <c r="P1164" s="23" t="n">
        <v>15210</v>
      </c>
    </row>
    <row r="1165">
      <c r="A1165" t="inlineStr">
        <is>
          <t>Augmentin 625 MG</t>
        </is>
      </c>
      <c r="B1165" t="inlineStr">
        <is>
          <t>Suez</t>
        </is>
      </c>
      <c r="C1165" s="22" t="n">
        <v>45627</v>
      </c>
      <c r="D1165" t="inlineStr">
        <is>
          <t>Mohamed Mahmoud</t>
        </is>
      </c>
      <c r="E1165" t="n">
        <v>117</v>
      </c>
      <c r="F1165" t="n">
        <v>2908</v>
      </c>
      <c r="G1165" t="n">
        <v>3253</v>
      </c>
      <c r="H1165" s="23" t="n">
        <v>340236</v>
      </c>
      <c r="I1165" s="23" t="n">
        <v>380601</v>
      </c>
      <c r="J1165" t="inlineStr">
        <is>
          <t>Dec</t>
        </is>
      </c>
      <c r="K1165" t="n">
        <v>12</v>
      </c>
      <c r="L1165" t="inlineStr">
        <is>
          <t>Q4</t>
        </is>
      </c>
      <c r="M1165" t="n">
        <v>2024</v>
      </c>
      <c r="N1165" s="22" t="n">
        <v>45627</v>
      </c>
      <c r="O1165" s="24" t="n">
        <v>0.8939440516446358</v>
      </c>
      <c r="P1165" s="23" t="n">
        <v>-40365</v>
      </c>
    </row>
    <row r="1166">
      <c r="A1166" t="inlineStr">
        <is>
          <t>Augmentin 625 MG</t>
        </is>
      </c>
      <c r="B1166" t="inlineStr">
        <is>
          <t>Dakahlia 1</t>
        </is>
      </c>
      <c r="C1166" s="22" t="n">
        <v>45292</v>
      </c>
      <c r="D1166" t="inlineStr">
        <is>
          <t>Nour El-Din</t>
        </is>
      </c>
      <c r="E1166" t="n">
        <v>117</v>
      </c>
      <c r="F1166" t="n">
        <v>2359</v>
      </c>
      <c r="G1166" t="n">
        <v>2152</v>
      </c>
      <c r="H1166" s="23" t="n">
        <v>276003</v>
      </c>
      <c r="I1166" s="23" t="n">
        <v>251784</v>
      </c>
      <c r="J1166" t="inlineStr">
        <is>
          <t>Jan</t>
        </is>
      </c>
      <c r="K1166" t="n">
        <v>1</v>
      </c>
      <c r="L1166" t="inlineStr">
        <is>
          <t>Q1</t>
        </is>
      </c>
      <c r="M1166" t="n">
        <v>2024</v>
      </c>
      <c r="N1166" s="22" t="n">
        <v>45292</v>
      </c>
      <c r="O1166" s="24" t="n">
        <v>1.096189591078067</v>
      </c>
      <c r="P1166" s="23" t="n">
        <v>24219</v>
      </c>
    </row>
    <row r="1167">
      <c r="A1167" t="inlineStr">
        <is>
          <t>Augmentin 625 MG</t>
        </is>
      </c>
      <c r="B1167" t="inlineStr">
        <is>
          <t>Dakahlia 1</t>
        </is>
      </c>
      <c r="C1167" s="22" t="n">
        <v>45323</v>
      </c>
      <c r="D1167" t="inlineStr">
        <is>
          <t>Nour El-Din</t>
        </is>
      </c>
      <c r="E1167" t="n">
        <v>117</v>
      </c>
      <c r="F1167" t="n">
        <v>3209</v>
      </c>
      <c r="G1167" t="n">
        <v>3771</v>
      </c>
      <c r="H1167" s="23" t="n">
        <v>375453</v>
      </c>
      <c r="I1167" s="23" t="n">
        <v>441207</v>
      </c>
      <c r="J1167" t="inlineStr">
        <is>
          <t>Feb</t>
        </is>
      </c>
      <c r="K1167" t="n">
        <v>2</v>
      </c>
      <c r="L1167" t="inlineStr">
        <is>
          <t>Q1</t>
        </is>
      </c>
      <c r="M1167" t="n">
        <v>2024</v>
      </c>
      <c r="N1167" s="22" t="n">
        <v>45323</v>
      </c>
      <c r="O1167" s="24" t="n">
        <v>0.850967913020419</v>
      </c>
      <c r="P1167" s="23" t="n">
        <v>-65754</v>
      </c>
    </row>
    <row r="1168">
      <c r="A1168" t="inlineStr">
        <is>
          <t>Augmentin 625 MG</t>
        </is>
      </c>
      <c r="B1168" t="inlineStr">
        <is>
          <t>Dakahlia 1</t>
        </is>
      </c>
      <c r="C1168" s="22" t="n">
        <v>45352</v>
      </c>
      <c r="D1168" t="inlineStr">
        <is>
          <t>Nour El-Din</t>
        </is>
      </c>
      <c r="E1168" t="n">
        <v>117</v>
      </c>
      <c r="F1168" t="n">
        <v>3328</v>
      </c>
      <c r="G1168" t="n">
        <v>3779</v>
      </c>
      <c r="H1168" s="23" t="n">
        <v>389376</v>
      </c>
      <c r="I1168" s="23" t="n">
        <v>442143</v>
      </c>
      <c r="J1168" t="inlineStr">
        <is>
          <t>Mar</t>
        </is>
      </c>
      <c r="K1168" t="n">
        <v>3</v>
      </c>
      <c r="L1168" t="inlineStr">
        <is>
          <t>Q1</t>
        </is>
      </c>
      <c r="M1168" t="n">
        <v>2024</v>
      </c>
      <c r="N1168" s="22" t="n">
        <v>45352</v>
      </c>
      <c r="O1168" s="24" t="n">
        <v>0.8806562582693834</v>
      </c>
      <c r="P1168" s="23" t="n">
        <v>-52767</v>
      </c>
    </row>
    <row r="1169">
      <c r="A1169" t="inlineStr">
        <is>
          <t>Augmentin 625 MG</t>
        </is>
      </c>
      <c r="B1169" t="inlineStr">
        <is>
          <t>Dakahlia 1</t>
        </is>
      </c>
      <c r="C1169" s="22" t="n">
        <v>45383</v>
      </c>
      <c r="D1169" t="inlineStr">
        <is>
          <t>Nour El-Din</t>
        </is>
      </c>
      <c r="E1169" t="n">
        <v>117</v>
      </c>
      <c r="F1169" t="n">
        <v>2719</v>
      </c>
      <c r="G1169" t="n">
        <v>2622</v>
      </c>
      <c r="H1169" s="23" t="n">
        <v>318123</v>
      </c>
      <c r="I1169" s="23" t="n">
        <v>306774</v>
      </c>
      <c r="J1169" t="inlineStr">
        <is>
          <t>Apr</t>
        </is>
      </c>
      <c r="K1169" t="n">
        <v>4</v>
      </c>
      <c r="L1169" t="inlineStr">
        <is>
          <t>Q2</t>
        </is>
      </c>
      <c r="M1169" t="n">
        <v>2024</v>
      </c>
      <c r="N1169" s="22" t="n">
        <v>45383</v>
      </c>
      <c r="O1169" s="24" t="n">
        <v>1.036994660564455</v>
      </c>
      <c r="P1169" s="23" t="n">
        <v>11349</v>
      </c>
    </row>
    <row r="1170">
      <c r="A1170" t="inlineStr">
        <is>
          <t>Augmentin 625 MG</t>
        </is>
      </c>
      <c r="B1170" t="inlineStr">
        <is>
          <t>Dakahlia 1</t>
        </is>
      </c>
      <c r="C1170" s="22" t="n">
        <v>45413</v>
      </c>
      <c r="D1170" t="inlineStr">
        <is>
          <t>Nour El-Din</t>
        </is>
      </c>
      <c r="E1170" t="n">
        <v>117</v>
      </c>
      <c r="F1170" t="n">
        <v>3468</v>
      </c>
      <c r="G1170" t="n">
        <v>3932</v>
      </c>
      <c r="H1170" s="23" t="n">
        <v>405756</v>
      </c>
      <c r="I1170" s="23" t="n">
        <v>460044</v>
      </c>
      <c r="J1170" t="inlineStr">
        <is>
          <t>May</t>
        </is>
      </c>
      <c r="K1170" t="n">
        <v>5</v>
      </c>
      <c r="L1170" t="inlineStr">
        <is>
          <t>Q2</t>
        </is>
      </c>
      <c r="M1170" t="n">
        <v>2024</v>
      </c>
      <c r="N1170" s="22" t="n">
        <v>45413</v>
      </c>
      <c r="O1170" s="24" t="n">
        <v>0.8819938962360122</v>
      </c>
      <c r="P1170" s="23" t="n">
        <v>-54288</v>
      </c>
    </row>
    <row r="1171">
      <c r="A1171" t="inlineStr">
        <is>
          <t>Augmentin 625 MG</t>
        </is>
      </c>
      <c r="B1171" t="inlineStr">
        <is>
          <t>Dakahlia 1</t>
        </is>
      </c>
      <c r="C1171" s="22" t="n">
        <v>45444</v>
      </c>
      <c r="D1171" t="inlineStr">
        <is>
          <t>Nour El-Din</t>
        </is>
      </c>
      <c r="E1171" t="n">
        <v>117</v>
      </c>
      <c r="F1171" t="n">
        <v>2278</v>
      </c>
      <c r="G1171" t="n">
        <v>2196</v>
      </c>
      <c r="H1171" s="23" t="n">
        <v>266526</v>
      </c>
      <c r="I1171" s="23" t="n">
        <v>256932</v>
      </c>
      <c r="J1171" t="inlineStr">
        <is>
          <t>Jun</t>
        </is>
      </c>
      <c r="K1171" t="n">
        <v>6</v>
      </c>
      <c r="L1171" t="inlineStr">
        <is>
          <t>Q2</t>
        </is>
      </c>
      <c r="M1171" t="n">
        <v>2024</v>
      </c>
      <c r="N1171" s="22" t="n">
        <v>45444</v>
      </c>
      <c r="O1171" s="24" t="n">
        <v>1.037340619307833</v>
      </c>
      <c r="P1171" s="23" t="n">
        <v>9594</v>
      </c>
    </row>
    <row r="1172">
      <c r="A1172" t="inlineStr">
        <is>
          <t>Augmentin 625 MG</t>
        </is>
      </c>
      <c r="B1172" t="inlineStr">
        <is>
          <t>Dakahlia 1</t>
        </is>
      </c>
      <c r="C1172" s="22" t="n">
        <v>45474</v>
      </c>
      <c r="D1172" t="inlineStr">
        <is>
          <t>Nour El-Din</t>
        </is>
      </c>
      <c r="E1172" t="n">
        <v>117</v>
      </c>
      <c r="F1172" t="n">
        <v>3103</v>
      </c>
      <c r="G1172" t="n">
        <v>2851</v>
      </c>
      <c r="H1172" s="23" t="n">
        <v>363051</v>
      </c>
      <c r="I1172" s="23" t="n">
        <v>333567</v>
      </c>
      <c r="J1172" t="inlineStr">
        <is>
          <t>Jul</t>
        </is>
      </c>
      <c r="K1172" t="n">
        <v>7</v>
      </c>
      <c r="L1172" t="inlineStr">
        <is>
          <t>Q3</t>
        </is>
      </c>
      <c r="M1172" t="n">
        <v>2024</v>
      </c>
      <c r="N1172" s="22" t="n">
        <v>45474</v>
      </c>
      <c r="O1172" s="24" t="n">
        <v>1.088390038582953</v>
      </c>
      <c r="P1172" s="23" t="n">
        <v>29484</v>
      </c>
    </row>
    <row r="1173">
      <c r="A1173" t="inlineStr">
        <is>
          <t>Augmentin 625 MG</t>
        </is>
      </c>
      <c r="B1173" t="inlineStr">
        <is>
          <t>Dakahlia 1</t>
        </is>
      </c>
      <c r="C1173" s="22" t="n">
        <v>45505</v>
      </c>
      <c r="D1173" t="inlineStr">
        <is>
          <t>Nour El-Din</t>
        </is>
      </c>
      <c r="E1173" t="n">
        <v>117</v>
      </c>
      <c r="F1173" t="n">
        <v>2527</v>
      </c>
      <c r="G1173" t="n">
        <v>2869</v>
      </c>
      <c r="H1173" s="23" t="n">
        <v>295659</v>
      </c>
      <c r="I1173" s="23" t="n">
        <v>335673</v>
      </c>
      <c r="J1173" t="inlineStr">
        <is>
          <t>Aug</t>
        </is>
      </c>
      <c r="K1173" t="n">
        <v>8</v>
      </c>
      <c r="L1173" t="inlineStr">
        <is>
          <t>Q3</t>
        </is>
      </c>
      <c r="M1173" t="n">
        <v>2024</v>
      </c>
      <c r="N1173" s="22" t="n">
        <v>45505</v>
      </c>
      <c r="O1173" s="24" t="n">
        <v>0.8807947019867549</v>
      </c>
      <c r="P1173" s="23" t="n">
        <v>-40014</v>
      </c>
    </row>
    <row r="1174">
      <c r="A1174" t="inlineStr">
        <is>
          <t>Augmentin 625 MG</t>
        </is>
      </c>
      <c r="B1174" t="inlineStr">
        <is>
          <t>Dakahlia 1</t>
        </is>
      </c>
      <c r="C1174" s="22" t="n">
        <v>45536</v>
      </c>
      <c r="D1174" t="inlineStr">
        <is>
          <t>Nour El-Din</t>
        </is>
      </c>
      <c r="E1174" t="n">
        <v>117</v>
      </c>
      <c r="F1174" t="n">
        <v>2397</v>
      </c>
      <c r="G1174" t="n">
        <v>2545</v>
      </c>
      <c r="H1174" s="23" t="n">
        <v>280449</v>
      </c>
      <c r="I1174" s="23" t="n">
        <v>297765</v>
      </c>
      <c r="J1174" t="inlineStr">
        <is>
          <t>Sep</t>
        </is>
      </c>
      <c r="K1174" t="n">
        <v>9</v>
      </c>
      <c r="L1174" t="inlineStr">
        <is>
          <t>Q3</t>
        </is>
      </c>
      <c r="M1174" t="n">
        <v>2024</v>
      </c>
      <c r="N1174" s="22" t="n">
        <v>45536</v>
      </c>
      <c r="O1174" s="24" t="n">
        <v>0.9418467583497053</v>
      </c>
      <c r="P1174" s="23" t="n">
        <v>-17316</v>
      </c>
    </row>
    <row r="1175">
      <c r="A1175" t="inlineStr">
        <is>
          <t>Augmentin 625 MG</t>
        </is>
      </c>
      <c r="B1175" t="inlineStr">
        <is>
          <t>Dakahlia 1</t>
        </is>
      </c>
      <c r="C1175" s="22" t="n">
        <v>45566</v>
      </c>
      <c r="D1175" t="inlineStr">
        <is>
          <t>Nour El-Din</t>
        </is>
      </c>
      <c r="E1175" t="n">
        <v>117</v>
      </c>
      <c r="F1175" t="n">
        <v>3531</v>
      </c>
      <c r="G1175" t="n">
        <v>3212</v>
      </c>
      <c r="H1175" s="23" t="n">
        <v>413127</v>
      </c>
      <c r="I1175" s="23" t="n">
        <v>375804</v>
      </c>
      <c r="J1175" t="inlineStr">
        <is>
          <t>Oct</t>
        </is>
      </c>
      <c r="K1175" t="n">
        <v>10</v>
      </c>
      <c r="L1175" t="inlineStr">
        <is>
          <t>Q4</t>
        </is>
      </c>
      <c r="M1175" t="n">
        <v>2024</v>
      </c>
      <c r="N1175" s="22" t="n">
        <v>45566</v>
      </c>
      <c r="O1175" s="24" t="n">
        <v>1.099315068493151</v>
      </c>
      <c r="P1175" s="23" t="n">
        <v>37323</v>
      </c>
    </row>
    <row r="1176">
      <c r="A1176" t="inlineStr">
        <is>
          <t>Augmentin 625 MG</t>
        </is>
      </c>
      <c r="B1176" t="inlineStr">
        <is>
          <t>Dakahlia 1</t>
        </is>
      </c>
      <c r="C1176" s="22" t="n">
        <v>45597</v>
      </c>
      <c r="D1176" t="inlineStr">
        <is>
          <t>Nour El-Din</t>
        </is>
      </c>
      <c r="E1176" t="n">
        <v>117</v>
      </c>
      <c r="F1176" t="n">
        <v>3342</v>
      </c>
      <c r="G1176" t="n">
        <v>3335</v>
      </c>
      <c r="H1176" s="23" t="n">
        <v>391014</v>
      </c>
      <c r="I1176" s="23" t="n">
        <v>390195</v>
      </c>
      <c r="J1176" t="inlineStr">
        <is>
          <t>Nov</t>
        </is>
      </c>
      <c r="K1176" t="n">
        <v>11</v>
      </c>
      <c r="L1176" t="inlineStr">
        <is>
          <t>Q4</t>
        </is>
      </c>
      <c r="M1176" t="n">
        <v>2024</v>
      </c>
      <c r="N1176" s="22" t="n">
        <v>45597</v>
      </c>
      <c r="O1176" s="24" t="n">
        <v>1.002098950524738</v>
      </c>
      <c r="P1176" s="23" t="n">
        <v>819</v>
      </c>
    </row>
    <row r="1177">
      <c r="A1177" t="inlineStr">
        <is>
          <t>Augmentin 625 MG</t>
        </is>
      </c>
      <c r="B1177" t="inlineStr">
        <is>
          <t>Dakahlia 1</t>
        </is>
      </c>
      <c r="C1177" s="22" t="n">
        <v>45627</v>
      </c>
      <c r="D1177" t="inlineStr">
        <is>
          <t>Nour El-Din</t>
        </is>
      </c>
      <c r="E1177" t="n">
        <v>117</v>
      </c>
      <c r="F1177" t="n">
        <v>3204</v>
      </c>
      <c r="G1177" t="n">
        <v>3507</v>
      </c>
      <c r="H1177" s="23" t="n">
        <v>374868</v>
      </c>
      <c r="I1177" s="23" t="n">
        <v>410319</v>
      </c>
      <c r="J1177" t="inlineStr">
        <is>
          <t>Dec</t>
        </is>
      </c>
      <c r="K1177" t="n">
        <v>12</v>
      </c>
      <c r="L1177" t="inlineStr">
        <is>
          <t>Q4</t>
        </is>
      </c>
      <c r="M1177" t="n">
        <v>2024</v>
      </c>
      <c r="N1177" s="22" t="n">
        <v>45627</v>
      </c>
      <c r="O1177" s="24" t="n">
        <v>0.913601368691189</v>
      </c>
      <c r="P1177" s="23" t="n">
        <v>-35451</v>
      </c>
    </row>
    <row r="1178">
      <c r="A1178" t="inlineStr">
        <is>
          <t>Augmentin 625 MG</t>
        </is>
      </c>
      <c r="B1178" t="inlineStr">
        <is>
          <t>Dakahlia 2</t>
        </is>
      </c>
      <c r="C1178" s="22" t="n">
        <v>45292</v>
      </c>
      <c r="D1178" t="inlineStr">
        <is>
          <t>Omar Khaled</t>
        </is>
      </c>
      <c r="E1178" t="n">
        <v>117</v>
      </c>
      <c r="F1178" t="n">
        <v>2898</v>
      </c>
      <c r="G1178" t="n">
        <v>3107</v>
      </c>
      <c r="H1178" s="23" t="n">
        <v>339066</v>
      </c>
      <c r="I1178" s="23" t="n">
        <v>363519</v>
      </c>
      <c r="J1178" t="inlineStr">
        <is>
          <t>Jan</t>
        </is>
      </c>
      <c r="K1178" t="n">
        <v>1</v>
      </c>
      <c r="L1178" t="inlineStr">
        <is>
          <t>Q1</t>
        </is>
      </c>
      <c r="M1178" t="n">
        <v>2024</v>
      </c>
      <c r="N1178" s="22" t="n">
        <v>45292</v>
      </c>
      <c r="O1178" s="24" t="n">
        <v>0.9327325394271001</v>
      </c>
      <c r="P1178" s="23" t="n">
        <v>-24453</v>
      </c>
    </row>
    <row r="1179">
      <c r="A1179" t="inlineStr">
        <is>
          <t>Augmentin 625 MG</t>
        </is>
      </c>
      <c r="B1179" t="inlineStr">
        <is>
          <t>Dakahlia 2</t>
        </is>
      </c>
      <c r="C1179" s="22" t="n">
        <v>45323</v>
      </c>
      <c r="D1179" t="inlineStr">
        <is>
          <t>Omar Khaled</t>
        </is>
      </c>
      <c r="E1179" t="n">
        <v>117</v>
      </c>
      <c r="F1179" t="n">
        <v>2989</v>
      </c>
      <c r="G1179" t="n">
        <v>3030</v>
      </c>
      <c r="H1179" s="23" t="n">
        <v>349713</v>
      </c>
      <c r="I1179" s="23" t="n">
        <v>354510</v>
      </c>
      <c r="J1179" t="inlineStr">
        <is>
          <t>Feb</t>
        </is>
      </c>
      <c r="K1179" t="n">
        <v>2</v>
      </c>
      <c r="L1179" t="inlineStr">
        <is>
          <t>Q1</t>
        </is>
      </c>
      <c r="M1179" t="n">
        <v>2024</v>
      </c>
      <c r="N1179" s="22" t="n">
        <v>45323</v>
      </c>
      <c r="O1179" s="24" t="n">
        <v>0.9864686468646865</v>
      </c>
      <c r="P1179" s="23" t="n">
        <v>-4797</v>
      </c>
    </row>
    <row r="1180">
      <c r="A1180" t="inlineStr">
        <is>
          <t>Augmentin 625 MG</t>
        </is>
      </c>
      <c r="B1180" t="inlineStr">
        <is>
          <t>Dakahlia 2</t>
        </is>
      </c>
      <c r="C1180" s="22" t="n">
        <v>45352</v>
      </c>
      <c r="D1180" t="inlineStr">
        <is>
          <t>Omar Khaled</t>
        </is>
      </c>
      <c r="E1180" t="n">
        <v>117</v>
      </c>
      <c r="F1180" t="n">
        <v>2447</v>
      </c>
      <c r="G1180" t="n">
        <v>2391</v>
      </c>
      <c r="H1180" s="23" t="n">
        <v>286299</v>
      </c>
      <c r="I1180" s="23" t="n">
        <v>279747</v>
      </c>
      <c r="J1180" t="inlineStr">
        <is>
          <t>Mar</t>
        </is>
      </c>
      <c r="K1180" t="n">
        <v>3</v>
      </c>
      <c r="L1180" t="inlineStr">
        <is>
          <t>Q1</t>
        </is>
      </c>
      <c r="M1180" t="n">
        <v>2024</v>
      </c>
      <c r="N1180" s="22" t="n">
        <v>45352</v>
      </c>
      <c r="O1180" s="24" t="n">
        <v>1.023421162693434</v>
      </c>
      <c r="P1180" s="23" t="n">
        <v>6552</v>
      </c>
    </row>
    <row r="1181">
      <c r="A1181" t="inlineStr">
        <is>
          <t>Augmentin 625 MG</t>
        </is>
      </c>
      <c r="B1181" t="inlineStr">
        <is>
          <t>Dakahlia 2</t>
        </is>
      </c>
      <c r="C1181" s="22" t="n">
        <v>45383</v>
      </c>
      <c r="D1181" t="inlineStr">
        <is>
          <t>Omar Khaled</t>
        </is>
      </c>
      <c r="E1181" t="n">
        <v>117</v>
      </c>
      <c r="F1181" t="n">
        <v>2903</v>
      </c>
      <c r="G1181" t="n">
        <v>3329</v>
      </c>
      <c r="H1181" s="23" t="n">
        <v>339651</v>
      </c>
      <c r="I1181" s="23" t="n">
        <v>389493</v>
      </c>
      <c r="J1181" t="inlineStr">
        <is>
          <t>Apr</t>
        </is>
      </c>
      <c r="K1181" t="n">
        <v>4</v>
      </c>
      <c r="L1181" t="inlineStr">
        <is>
          <t>Q2</t>
        </is>
      </c>
      <c r="M1181" t="n">
        <v>2024</v>
      </c>
      <c r="N1181" s="22" t="n">
        <v>45383</v>
      </c>
      <c r="O1181" s="24" t="n">
        <v>0.8720336437368579</v>
      </c>
      <c r="P1181" s="23" t="n">
        <v>-49842</v>
      </c>
    </row>
    <row r="1182">
      <c r="A1182" t="inlineStr">
        <is>
          <t>Augmentin 625 MG</t>
        </is>
      </c>
      <c r="B1182" t="inlineStr">
        <is>
          <t>Dakahlia 2</t>
        </is>
      </c>
      <c r="C1182" s="22" t="n">
        <v>45413</v>
      </c>
      <c r="D1182" t="inlineStr">
        <is>
          <t>Omar Khaled</t>
        </is>
      </c>
      <c r="E1182" t="n">
        <v>117</v>
      </c>
      <c r="F1182" t="n">
        <v>3535</v>
      </c>
      <c r="G1182" t="n">
        <v>3847</v>
      </c>
      <c r="H1182" s="23" t="n">
        <v>413595</v>
      </c>
      <c r="I1182" s="23" t="n">
        <v>450099</v>
      </c>
      <c r="J1182" t="inlineStr">
        <is>
          <t>May</t>
        </is>
      </c>
      <c r="K1182" t="n">
        <v>5</v>
      </c>
      <c r="L1182" t="inlineStr">
        <is>
          <t>Q2</t>
        </is>
      </c>
      <c r="M1182" t="n">
        <v>2024</v>
      </c>
      <c r="N1182" s="22" t="n">
        <v>45413</v>
      </c>
      <c r="O1182" s="24" t="n">
        <v>0.9188978424746556</v>
      </c>
      <c r="P1182" s="23" t="n">
        <v>-36504</v>
      </c>
    </row>
    <row r="1183">
      <c r="A1183" t="inlineStr">
        <is>
          <t>Augmentin 625 MG</t>
        </is>
      </c>
      <c r="B1183" t="inlineStr">
        <is>
          <t>Dakahlia 2</t>
        </is>
      </c>
      <c r="C1183" s="22" t="n">
        <v>45444</v>
      </c>
      <c r="D1183" t="inlineStr">
        <is>
          <t>Omar Khaled</t>
        </is>
      </c>
      <c r="E1183" t="n">
        <v>117</v>
      </c>
      <c r="F1183" t="n">
        <v>2848</v>
      </c>
      <c r="G1183" t="n">
        <v>3250</v>
      </c>
      <c r="H1183" s="23" t="n">
        <v>333216</v>
      </c>
      <c r="I1183" s="23" t="n">
        <v>380250</v>
      </c>
      <c r="J1183" t="inlineStr">
        <is>
          <t>Jun</t>
        </is>
      </c>
      <c r="K1183" t="n">
        <v>6</v>
      </c>
      <c r="L1183" t="inlineStr">
        <is>
          <t>Q2</t>
        </is>
      </c>
      <c r="M1183" t="n">
        <v>2024</v>
      </c>
      <c r="N1183" s="22" t="n">
        <v>45444</v>
      </c>
      <c r="O1183" s="24" t="n">
        <v>0.8763076923076923</v>
      </c>
      <c r="P1183" s="23" t="n">
        <v>-47034</v>
      </c>
    </row>
    <row r="1184">
      <c r="A1184" t="inlineStr">
        <is>
          <t>Augmentin 625 MG</t>
        </is>
      </c>
      <c r="B1184" t="inlineStr">
        <is>
          <t>Dakahlia 2</t>
        </is>
      </c>
      <c r="C1184" s="22" t="n">
        <v>45474</v>
      </c>
      <c r="D1184" t="inlineStr">
        <is>
          <t>Omar Khaled</t>
        </is>
      </c>
      <c r="E1184" t="n">
        <v>117</v>
      </c>
      <c r="F1184" t="n">
        <v>3235</v>
      </c>
      <c r="G1184" t="n">
        <v>3345</v>
      </c>
      <c r="H1184" s="23" t="n">
        <v>378495</v>
      </c>
      <c r="I1184" s="23" t="n">
        <v>391365</v>
      </c>
      <c r="J1184" t="inlineStr">
        <is>
          <t>Jul</t>
        </is>
      </c>
      <c r="K1184" t="n">
        <v>7</v>
      </c>
      <c r="L1184" t="inlineStr">
        <is>
          <t>Q3</t>
        </is>
      </c>
      <c r="M1184" t="n">
        <v>2024</v>
      </c>
      <c r="N1184" s="22" t="n">
        <v>45474</v>
      </c>
      <c r="O1184" s="24" t="n">
        <v>0.9671150971599403</v>
      </c>
      <c r="P1184" s="23" t="n">
        <v>-12870</v>
      </c>
    </row>
    <row r="1185">
      <c r="A1185" t="inlineStr">
        <is>
          <t>Augmentin 625 MG</t>
        </is>
      </c>
      <c r="B1185" t="inlineStr">
        <is>
          <t>Dakahlia 2</t>
        </is>
      </c>
      <c r="C1185" s="22" t="n">
        <v>45505</v>
      </c>
      <c r="D1185" t="inlineStr">
        <is>
          <t>Omar Khaled</t>
        </is>
      </c>
      <c r="E1185" t="n">
        <v>117</v>
      </c>
      <c r="F1185" t="n">
        <v>2615</v>
      </c>
      <c r="G1185" t="n">
        <v>2757</v>
      </c>
      <c r="H1185" s="23" t="n">
        <v>305955</v>
      </c>
      <c r="I1185" s="23" t="n">
        <v>322569</v>
      </c>
      <c r="J1185" t="inlineStr">
        <is>
          <t>Aug</t>
        </is>
      </c>
      <c r="K1185" t="n">
        <v>8</v>
      </c>
      <c r="L1185" t="inlineStr">
        <is>
          <t>Q3</t>
        </is>
      </c>
      <c r="M1185" t="n">
        <v>2024</v>
      </c>
      <c r="N1185" s="22" t="n">
        <v>45505</v>
      </c>
      <c r="O1185" s="24" t="n">
        <v>0.9484947406601378</v>
      </c>
      <c r="P1185" s="23" t="n">
        <v>-16614</v>
      </c>
    </row>
    <row r="1186">
      <c r="A1186" t="inlineStr">
        <is>
          <t>Augmentin 625 MG</t>
        </is>
      </c>
      <c r="B1186" t="inlineStr">
        <is>
          <t>Dakahlia 2</t>
        </is>
      </c>
      <c r="C1186" s="22" t="n">
        <v>45536</v>
      </c>
      <c r="D1186" t="inlineStr">
        <is>
          <t>Omar Khaled</t>
        </is>
      </c>
      <c r="E1186" t="n">
        <v>117</v>
      </c>
      <c r="F1186" t="n">
        <v>2486</v>
      </c>
      <c r="G1186" t="n">
        <v>2722</v>
      </c>
      <c r="H1186" s="23" t="n">
        <v>290862</v>
      </c>
      <c r="I1186" s="23" t="n">
        <v>318474</v>
      </c>
      <c r="J1186" t="inlineStr">
        <is>
          <t>Sep</t>
        </is>
      </c>
      <c r="K1186" t="n">
        <v>9</v>
      </c>
      <c r="L1186" t="inlineStr">
        <is>
          <t>Q3</t>
        </is>
      </c>
      <c r="M1186" t="n">
        <v>2024</v>
      </c>
      <c r="N1186" s="22" t="n">
        <v>45536</v>
      </c>
      <c r="O1186" s="24" t="n">
        <v>0.9132990448199853</v>
      </c>
      <c r="P1186" s="23" t="n">
        <v>-27612</v>
      </c>
    </row>
    <row r="1187">
      <c r="A1187" t="inlineStr">
        <is>
          <t>Augmentin 625 MG</t>
        </is>
      </c>
      <c r="B1187" t="inlineStr">
        <is>
          <t>Dakahlia 2</t>
        </is>
      </c>
      <c r="C1187" s="22" t="n">
        <v>45566</v>
      </c>
      <c r="D1187" t="inlineStr">
        <is>
          <t>Omar Khaled</t>
        </is>
      </c>
      <c r="E1187" t="n">
        <v>117</v>
      </c>
      <c r="F1187" t="n">
        <v>3316</v>
      </c>
      <c r="G1187" t="n">
        <v>3683</v>
      </c>
      <c r="H1187" s="23" t="n">
        <v>387972</v>
      </c>
      <c r="I1187" s="23" t="n">
        <v>430911</v>
      </c>
      <c r="J1187" t="inlineStr">
        <is>
          <t>Oct</t>
        </is>
      </c>
      <c r="K1187" t="n">
        <v>10</v>
      </c>
      <c r="L1187" t="inlineStr">
        <is>
          <t>Q4</t>
        </is>
      </c>
      <c r="M1187" t="n">
        <v>2024</v>
      </c>
      <c r="N1187" s="22" t="n">
        <v>45566</v>
      </c>
      <c r="O1187" s="24" t="n">
        <v>0.9003529731197394</v>
      </c>
      <c r="P1187" s="23" t="n">
        <v>-42939</v>
      </c>
    </row>
    <row r="1188">
      <c r="A1188" t="inlineStr">
        <is>
          <t>Augmentin 625 MG</t>
        </is>
      </c>
      <c r="B1188" t="inlineStr">
        <is>
          <t>Dakahlia 2</t>
        </is>
      </c>
      <c r="C1188" s="22" t="n">
        <v>45597</v>
      </c>
      <c r="D1188" t="inlineStr">
        <is>
          <t>Omar Khaled</t>
        </is>
      </c>
      <c r="E1188" t="n">
        <v>117</v>
      </c>
      <c r="F1188" t="n">
        <v>3195</v>
      </c>
      <c r="G1188" t="n">
        <v>3105</v>
      </c>
      <c r="H1188" s="23" t="n">
        <v>373815</v>
      </c>
      <c r="I1188" s="23" t="n">
        <v>363285</v>
      </c>
      <c r="J1188" t="inlineStr">
        <is>
          <t>Nov</t>
        </is>
      </c>
      <c r="K1188" t="n">
        <v>11</v>
      </c>
      <c r="L1188" t="inlineStr">
        <is>
          <t>Q4</t>
        </is>
      </c>
      <c r="M1188" t="n">
        <v>2024</v>
      </c>
      <c r="N1188" s="22" t="n">
        <v>45597</v>
      </c>
      <c r="O1188" s="24" t="n">
        <v>1.028985507246377</v>
      </c>
      <c r="P1188" s="23" t="n">
        <v>10530</v>
      </c>
    </row>
    <row r="1189">
      <c r="A1189" t="inlineStr">
        <is>
          <t>Augmentin 625 MG</t>
        </is>
      </c>
      <c r="B1189" t="inlineStr">
        <is>
          <t>Dakahlia 2</t>
        </is>
      </c>
      <c r="C1189" s="22" t="n">
        <v>45627</v>
      </c>
      <c r="D1189" t="inlineStr">
        <is>
          <t>Omar Khaled</t>
        </is>
      </c>
      <c r="E1189" t="n">
        <v>117</v>
      </c>
      <c r="F1189" t="n">
        <v>2268</v>
      </c>
      <c r="G1189" t="n">
        <v>2157</v>
      </c>
      <c r="H1189" s="23" t="n">
        <v>265356</v>
      </c>
      <c r="I1189" s="23" t="n">
        <v>252369</v>
      </c>
      <c r="J1189" t="inlineStr">
        <is>
          <t>Dec</t>
        </is>
      </c>
      <c r="K1189" t="n">
        <v>12</v>
      </c>
      <c r="L1189" t="inlineStr">
        <is>
          <t>Q4</t>
        </is>
      </c>
      <c r="M1189" t="n">
        <v>2024</v>
      </c>
      <c r="N1189" s="22" t="n">
        <v>45627</v>
      </c>
      <c r="O1189" s="24" t="n">
        <v>1.051460361613352</v>
      </c>
      <c r="P1189" s="23" t="n">
        <v>12987</v>
      </c>
    </row>
    <row r="1190">
      <c r="A1190" t="inlineStr">
        <is>
          <t>Augmentin 625 MG</t>
        </is>
      </c>
      <c r="B1190" t="inlineStr">
        <is>
          <t>Sharqia 1</t>
        </is>
      </c>
      <c r="C1190" s="22" t="n">
        <v>45292</v>
      </c>
      <c r="D1190" t="inlineStr">
        <is>
          <t>Sara Ibrahim</t>
        </is>
      </c>
      <c r="E1190" t="n">
        <v>117</v>
      </c>
      <c r="F1190" t="n">
        <v>2069</v>
      </c>
      <c r="G1190" t="n">
        <v>2211</v>
      </c>
      <c r="H1190" s="23" t="n">
        <v>242073</v>
      </c>
      <c r="I1190" s="23" t="n">
        <v>258687</v>
      </c>
      <c r="J1190" t="inlineStr">
        <is>
          <t>Jan</t>
        </is>
      </c>
      <c r="K1190" t="n">
        <v>1</v>
      </c>
      <c r="L1190" t="inlineStr">
        <is>
          <t>Q1</t>
        </is>
      </c>
      <c r="M1190" t="n">
        <v>2024</v>
      </c>
      <c r="N1190" s="22" t="n">
        <v>45292</v>
      </c>
      <c r="O1190" s="24" t="n">
        <v>0.9357756671189507</v>
      </c>
      <c r="P1190" s="23" t="n">
        <v>-16614</v>
      </c>
    </row>
    <row r="1191">
      <c r="A1191" t="inlineStr">
        <is>
          <t>Augmentin 625 MG</t>
        </is>
      </c>
      <c r="B1191" t="inlineStr">
        <is>
          <t>Sharqia 1</t>
        </is>
      </c>
      <c r="C1191" s="22" t="n">
        <v>45323</v>
      </c>
      <c r="D1191" t="inlineStr">
        <is>
          <t>Sara Ibrahim</t>
        </is>
      </c>
      <c r="E1191" t="n">
        <v>117</v>
      </c>
      <c r="F1191" t="n">
        <v>3218</v>
      </c>
      <c r="G1191" t="n">
        <v>3612</v>
      </c>
      <c r="H1191" s="23" t="n">
        <v>376506</v>
      </c>
      <c r="I1191" s="23" t="n">
        <v>422604</v>
      </c>
      <c r="J1191" t="inlineStr">
        <is>
          <t>Feb</t>
        </is>
      </c>
      <c r="K1191" t="n">
        <v>2</v>
      </c>
      <c r="L1191" t="inlineStr">
        <is>
          <t>Q1</t>
        </is>
      </c>
      <c r="M1191" t="n">
        <v>2024</v>
      </c>
      <c r="N1191" s="22" t="n">
        <v>45323</v>
      </c>
      <c r="O1191" s="24" t="n">
        <v>0.8909191583610189</v>
      </c>
      <c r="P1191" s="23" t="n">
        <v>-46098</v>
      </c>
    </row>
    <row r="1192">
      <c r="A1192" t="inlineStr">
        <is>
          <t>Augmentin 625 MG</t>
        </is>
      </c>
      <c r="B1192" t="inlineStr">
        <is>
          <t>Sharqia 1</t>
        </is>
      </c>
      <c r="C1192" s="22" t="n">
        <v>45352</v>
      </c>
      <c r="D1192" t="inlineStr">
        <is>
          <t>Sara Ibrahim</t>
        </is>
      </c>
      <c r="E1192" t="n">
        <v>117</v>
      </c>
      <c r="F1192" t="n">
        <v>1783</v>
      </c>
      <c r="G1192" t="n">
        <v>2059</v>
      </c>
      <c r="H1192" s="23" t="n">
        <v>208611</v>
      </c>
      <c r="I1192" s="23" t="n">
        <v>240903</v>
      </c>
      <c r="J1192" t="inlineStr">
        <is>
          <t>Mar</t>
        </is>
      </c>
      <c r="K1192" t="n">
        <v>3</v>
      </c>
      <c r="L1192" t="inlineStr">
        <is>
          <t>Q1</t>
        </is>
      </c>
      <c r="M1192" t="n">
        <v>2024</v>
      </c>
      <c r="N1192" s="22" t="n">
        <v>45352</v>
      </c>
      <c r="O1192" s="24" t="n">
        <v>0.8659543467702768</v>
      </c>
      <c r="P1192" s="23" t="n">
        <v>-32292</v>
      </c>
    </row>
    <row r="1193">
      <c r="A1193" t="inlineStr">
        <is>
          <t>Augmentin 625 MG</t>
        </is>
      </c>
      <c r="B1193" t="inlineStr">
        <is>
          <t>Sharqia 1</t>
        </is>
      </c>
      <c r="C1193" s="22" t="n">
        <v>45383</v>
      </c>
      <c r="D1193" t="inlineStr">
        <is>
          <t>Sara Ibrahim</t>
        </is>
      </c>
      <c r="E1193" t="n">
        <v>117</v>
      </c>
      <c r="F1193" t="n">
        <v>2543</v>
      </c>
      <c r="G1193" t="n">
        <v>3810</v>
      </c>
      <c r="H1193" s="23" t="n">
        <v>297531</v>
      </c>
      <c r="I1193" s="23" t="n">
        <v>445770</v>
      </c>
      <c r="J1193" t="inlineStr">
        <is>
          <t>Apr</t>
        </is>
      </c>
      <c r="K1193" t="n">
        <v>4</v>
      </c>
      <c r="L1193" t="inlineStr">
        <is>
          <t>Q2</t>
        </is>
      </c>
      <c r="M1193" t="n">
        <v>2024</v>
      </c>
      <c r="N1193" s="22" t="n">
        <v>45383</v>
      </c>
      <c r="O1193" s="24" t="n">
        <v>0.6674540682414698</v>
      </c>
      <c r="P1193" s="23" t="n">
        <v>-148239</v>
      </c>
    </row>
    <row r="1194">
      <c r="A1194" t="inlineStr">
        <is>
          <t>Augmentin 625 MG</t>
        </is>
      </c>
      <c r="B1194" t="inlineStr">
        <is>
          <t>Sharqia 1</t>
        </is>
      </c>
      <c r="C1194" s="22" t="n">
        <v>45413</v>
      </c>
      <c r="D1194" t="inlineStr">
        <is>
          <t>Sara Ibrahim</t>
        </is>
      </c>
      <c r="E1194" t="n">
        <v>117</v>
      </c>
      <c r="F1194" t="n">
        <v>2273</v>
      </c>
      <c r="G1194" t="n">
        <v>2325</v>
      </c>
      <c r="H1194" s="23" t="n">
        <v>265941</v>
      </c>
      <c r="I1194" s="23" t="n">
        <v>272025</v>
      </c>
      <c r="J1194" t="inlineStr">
        <is>
          <t>May</t>
        </is>
      </c>
      <c r="K1194" t="n">
        <v>5</v>
      </c>
      <c r="L1194" t="inlineStr">
        <is>
          <t>Q2</t>
        </is>
      </c>
      <c r="M1194" t="n">
        <v>2024</v>
      </c>
      <c r="N1194" s="22" t="n">
        <v>45413</v>
      </c>
      <c r="O1194" s="24" t="n">
        <v>0.9776344086021506</v>
      </c>
      <c r="P1194" s="23" t="n">
        <v>-6084</v>
      </c>
    </row>
    <row r="1195">
      <c r="A1195" t="inlineStr">
        <is>
          <t>Augmentin 625 MG</t>
        </is>
      </c>
      <c r="B1195" t="inlineStr">
        <is>
          <t>Sharqia 1</t>
        </is>
      </c>
      <c r="C1195" s="22" t="n">
        <v>45444</v>
      </c>
      <c r="D1195" t="inlineStr">
        <is>
          <t>Sara Ibrahim</t>
        </is>
      </c>
      <c r="E1195" t="n">
        <v>117</v>
      </c>
      <c r="F1195" t="n">
        <v>3575</v>
      </c>
      <c r="G1195" t="n">
        <v>3762</v>
      </c>
      <c r="H1195" s="23" t="n">
        <v>418275</v>
      </c>
      <c r="I1195" s="23" t="n">
        <v>440154</v>
      </c>
      <c r="J1195" t="inlineStr">
        <is>
          <t>Jun</t>
        </is>
      </c>
      <c r="K1195" t="n">
        <v>6</v>
      </c>
      <c r="L1195" t="inlineStr">
        <is>
          <t>Q2</t>
        </is>
      </c>
      <c r="M1195" t="n">
        <v>2024</v>
      </c>
      <c r="N1195" s="22" t="n">
        <v>45444</v>
      </c>
      <c r="O1195" s="24" t="n">
        <v>0.9502923976608187</v>
      </c>
      <c r="P1195" s="23" t="n">
        <v>-21879</v>
      </c>
    </row>
    <row r="1196">
      <c r="A1196" t="inlineStr">
        <is>
          <t>Augmentin 625 MG</t>
        </is>
      </c>
      <c r="B1196" t="inlineStr">
        <is>
          <t>Sharqia 1</t>
        </is>
      </c>
      <c r="C1196" s="22" t="n">
        <v>45474</v>
      </c>
      <c r="D1196" t="inlineStr">
        <is>
          <t>Sara Ibrahim</t>
        </is>
      </c>
      <c r="E1196" t="n">
        <v>117</v>
      </c>
      <c r="F1196" t="n">
        <v>3529</v>
      </c>
      <c r="G1196" t="n">
        <v>3627</v>
      </c>
      <c r="H1196" s="23" t="n">
        <v>412893</v>
      </c>
      <c r="I1196" s="23" t="n">
        <v>424359</v>
      </c>
      <c r="J1196" t="inlineStr">
        <is>
          <t>Jul</t>
        </is>
      </c>
      <c r="K1196" t="n">
        <v>7</v>
      </c>
      <c r="L1196" t="inlineStr">
        <is>
          <t>Q3</t>
        </is>
      </c>
      <c r="M1196" t="n">
        <v>2024</v>
      </c>
      <c r="N1196" s="22" t="n">
        <v>45474</v>
      </c>
      <c r="O1196" s="24" t="n">
        <v>0.9729804245933278</v>
      </c>
      <c r="P1196" s="23" t="n">
        <v>-11466</v>
      </c>
    </row>
    <row r="1197">
      <c r="A1197" t="inlineStr">
        <is>
          <t>Augmentin 625 MG</t>
        </is>
      </c>
      <c r="B1197" t="inlineStr">
        <is>
          <t>Sharqia 1</t>
        </is>
      </c>
      <c r="C1197" s="22" t="n">
        <v>45505</v>
      </c>
      <c r="D1197" t="inlineStr">
        <is>
          <t>Sara Ibrahim</t>
        </is>
      </c>
      <c r="E1197" t="n">
        <v>117</v>
      </c>
      <c r="F1197" t="n">
        <v>2619</v>
      </c>
      <c r="G1197" t="n">
        <v>2766</v>
      </c>
      <c r="H1197" s="23" t="n">
        <v>306423</v>
      </c>
      <c r="I1197" s="23" t="n">
        <v>323622</v>
      </c>
      <c r="J1197" t="inlineStr">
        <is>
          <t>Aug</t>
        </is>
      </c>
      <c r="K1197" t="n">
        <v>8</v>
      </c>
      <c r="L1197" t="inlineStr">
        <is>
          <t>Q3</t>
        </is>
      </c>
      <c r="M1197" t="n">
        <v>2024</v>
      </c>
      <c r="N1197" s="22" t="n">
        <v>45505</v>
      </c>
      <c r="O1197" s="24" t="n">
        <v>0.9468546637744034</v>
      </c>
      <c r="P1197" s="23" t="n">
        <v>-17199</v>
      </c>
    </row>
    <row r="1198">
      <c r="A1198" t="inlineStr">
        <is>
          <t>Augmentin 625 MG</t>
        </is>
      </c>
      <c r="B1198" t="inlineStr">
        <is>
          <t>Sharqia 1</t>
        </is>
      </c>
      <c r="C1198" s="22" t="n">
        <v>45536</v>
      </c>
      <c r="D1198" t="inlineStr">
        <is>
          <t>Sara Ibrahim</t>
        </is>
      </c>
      <c r="E1198" t="n">
        <v>117</v>
      </c>
      <c r="F1198" t="n">
        <v>3413</v>
      </c>
      <c r="G1198" t="n">
        <v>3210</v>
      </c>
      <c r="H1198" s="23" t="n">
        <v>399321</v>
      </c>
      <c r="I1198" s="23" t="n">
        <v>375570</v>
      </c>
      <c r="J1198" t="inlineStr">
        <is>
          <t>Sep</t>
        </is>
      </c>
      <c r="K1198" t="n">
        <v>9</v>
      </c>
      <c r="L1198" t="inlineStr">
        <is>
          <t>Q3</t>
        </is>
      </c>
      <c r="M1198" t="n">
        <v>2024</v>
      </c>
      <c r="N1198" s="22" t="n">
        <v>45536</v>
      </c>
      <c r="O1198" s="24" t="n">
        <v>1.063239875389408</v>
      </c>
      <c r="P1198" s="23" t="n">
        <v>23751</v>
      </c>
    </row>
    <row r="1199">
      <c r="A1199" t="inlineStr">
        <is>
          <t>Augmentin 625 MG</t>
        </is>
      </c>
      <c r="B1199" t="inlineStr">
        <is>
          <t>Sharqia 1</t>
        </is>
      </c>
      <c r="C1199" s="22" t="n">
        <v>45566</v>
      </c>
      <c r="D1199" t="inlineStr">
        <is>
          <t>Sara Ibrahim</t>
        </is>
      </c>
      <c r="E1199" t="n">
        <v>117</v>
      </c>
      <c r="F1199" t="n">
        <v>3855</v>
      </c>
      <c r="G1199" t="n">
        <v>3802</v>
      </c>
      <c r="H1199" s="23" t="n">
        <v>451035</v>
      </c>
      <c r="I1199" s="23" t="n">
        <v>444834</v>
      </c>
      <c r="J1199" t="inlineStr">
        <is>
          <t>Oct</t>
        </is>
      </c>
      <c r="K1199" t="n">
        <v>10</v>
      </c>
      <c r="L1199" t="inlineStr">
        <is>
          <t>Q4</t>
        </is>
      </c>
      <c r="M1199" t="n">
        <v>2024</v>
      </c>
      <c r="N1199" s="22" t="n">
        <v>45566</v>
      </c>
      <c r="O1199" s="24" t="n">
        <v>1.013940031562336</v>
      </c>
      <c r="P1199" s="23" t="n">
        <v>6201</v>
      </c>
    </row>
    <row r="1200">
      <c r="A1200" t="inlineStr">
        <is>
          <t>Augmentin 625 MG</t>
        </is>
      </c>
      <c r="B1200" t="inlineStr">
        <is>
          <t>Sharqia 1</t>
        </is>
      </c>
      <c r="C1200" s="22" t="n">
        <v>45597</v>
      </c>
      <c r="D1200" t="inlineStr">
        <is>
          <t>Sara Ibrahim</t>
        </is>
      </c>
      <c r="E1200" t="n">
        <v>117</v>
      </c>
      <c r="F1200" t="n">
        <v>2774</v>
      </c>
      <c r="G1200" t="n">
        <v>3153</v>
      </c>
      <c r="H1200" s="23" t="n">
        <v>324558</v>
      </c>
      <c r="I1200" s="23" t="n">
        <v>368901</v>
      </c>
      <c r="J1200" t="inlineStr">
        <is>
          <t>Nov</t>
        </is>
      </c>
      <c r="K1200" t="n">
        <v>11</v>
      </c>
      <c r="L1200" t="inlineStr">
        <is>
          <t>Q4</t>
        </is>
      </c>
      <c r="M1200" t="n">
        <v>2024</v>
      </c>
      <c r="N1200" s="22" t="n">
        <v>45597</v>
      </c>
      <c r="O1200" s="24" t="n">
        <v>0.8797970187123375</v>
      </c>
      <c r="P1200" s="23" t="n">
        <v>-44343</v>
      </c>
    </row>
    <row r="1201">
      <c r="A1201" t="inlineStr">
        <is>
          <t>Augmentin 625 MG</t>
        </is>
      </c>
      <c r="B1201" t="inlineStr">
        <is>
          <t>Sharqia 1</t>
        </is>
      </c>
      <c r="C1201" s="22" t="n">
        <v>45627</v>
      </c>
      <c r="D1201" t="inlineStr">
        <is>
          <t>Sara Ibrahim</t>
        </is>
      </c>
      <c r="E1201" t="n">
        <v>117</v>
      </c>
      <c r="F1201" t="n">
        <v>2590</v>
      </c>
      <c r="G1201" t="n">
        <v>2561</v>
      </c>
      <c r="H1201" s="23" t="n">
        <v>303030</v>
      </c>
      <c r="I1201" s="23" t="n">
        <v>299637</v>
      </c>
      <c r="J1201" t="inlineStr">
        <is>
          <t>Dec</t>
        </is>
      </c>
      <c r="K1201" t="n">
        <v>12</v>
      </c>
      <c r="L1201" t="inlineStr">
        <is>
          <t>Q4</t>
        </is>
      </c>
      <c r="M1201" t="n">
        <v>2024</v>
      </c>
      <c r="N1201" s="22" t="n">
        <v>45627</v>
      </c>
      <c r="O1201" s="24" t="n">
        <v>1.011323701679032</v>
      </c>
      <c r="P1201" s="23" t="n">
        <v>3393</v>
      </c>
    </row>
    <row r="1202">
      <c r="A1202" t="inlineStr">
        <is>
          <t>Augmentin 625 MG</t>
        </is>
      </c>
      <c r="B1202" t="inlineStr">
        <is>
          <t>Sharqia 2</t>
        </is>
      </c>
      <c r="C1202" s="22" t="n">
        <v>45292</v>
      </c>
      <c r="D1202" t="inlineStr">
        <is>
          <t>Youssef Farouk</t>
        </is>
      </c>
      <c r="E1202" t="n">
        <v>117</v>
      </c>
      <c r="F1202" t="n">
        <v>3500</v>
      </c>
      <c r="G1202" t="n">
        <v>3731</v>
      </c>
      <c r="H1202" s="23" t="n">
        <v>409500</v>
      </c>
      <c r="I1202" s="23" t="n">
        <v>436527</v>
      </c>
      <c r="J1202" t="inlineStr">
        <is>
          <t>Jan</t>
        </is>
      </c>
      <c r="K1202" t="n">
        <v>1</v>
      </c>
      <c r="L1202" t="inlineStr">
        <is>
          <t>Q1</t>
        </is>
      </c>
      <c r="M1202" t="n">
        <v>2024</v>
      </c>
      <c r="N1202" s="22" t="n">
        <v>45292</v>
      </c>
      <c r="O1202" s="24" t="n">
        <v>0.9380863039399625</v>
      </c>
      <c r="P1202" s="23" t="n">
        <v>-27027</v>
      </c>
    </row>
    <row r="1203">
      <c r="A1203" t="inlineStr">
        <is>
          <t>Augmentin 625 MG</t>
        </is>
      </c>
      <c r="B1203" t="inlineStr">
        <is>
          <t>Sharqia 2</t>
        </is>
      </c>
      <c r="C1203" s="22" t="n">
        <v>45323</v>
      </c>
      <c r="D1203" t="inlineStr">
        <is>
          <t>Youssef Farouk</t>
        </is>
      </c>
      <c r="E1203" t="n">
        <v>117</v>
      </c>
      <c r="F1203" t="n">
        <v>3641</v>
      </c>
      <c r="G1203" t="n">
        <v>3125</v>
      </c>
      <c r="H1203" s="23" t="n">
        <v>425997</v>
      </c>
      <c r="I1203" s="23" t="n">
        <v>365625</v>
      </c>
      <c r="J1203" t="inlineStr">
        <is>
          <t>Feb</t>
        </is>
      </c>
      <c r="K1203" t="n">
        <v>2</v>
      </c>
      <c r="L1203" t="inlineStr">
        <is>
          <t>Q1</t>
        </is>
      </c>
      <c r="M1203" t="n">
        <v>2024</v>
      </c>
      <c r="N1203" s="22" t="n">
        <v>45323</v>
      </c>
      <c r="O1203" s="24" t="n">
        <v>1.16512</v>
      </c>
      <c r="P1203" s="23" t="n">
        <v>60372</v>
      </c>
    </row>
    <row r="1204">
      <c r="A1204" t="inlineStr">
        <is>
          <t>Augmentin 625 MG</t>
        </is>
      </c>
      <c r="B1204" t="inlineStr">
        <is>
          <t>Sharqia 2</t>
        </is>
      </c>
      <c r="C1204" s="22" t="n">
        <v>45352</v>
      </c>
      <c r="D1204" t="inlineStr">
        <is>
          <t>Youssef Farouk</t>
        </is>
      </c>
      <c r="E1204" t="n">
        <v>117</v>
      </c>
      <c r="F1204" t="n">
        <v>3102</v>
      </c>
      <c r="G1204" t="n">
        <v>3519</v>
      </c>
      <c r="H1204" s="23" t="n">
        <v>362934</v>
      </c>
      <c r="I1204" s="23" t="n">
        <v>411723</v>
      </c>
      <c r="J1204" t="inlineStr">
        <is>
          <t>Mar</t>
        </is>
      </c>
      <c r="K1204" t="n">
        <v>3</v>
      </c>
      <c r="L1204" t="inlineStr">
        <is>
          <t>Q1</t>
        </is>
      </c>
      <c r="M1204" t="n">
        <v>2024</v>
      </c>
      <c r="N1204" s="22" t="n">
        <v>45352</v>
      </c>
      <c r="O1204" s="24" t="n">
        <v>0.8815004262574595</v>
      </c>
      <c r="P1204" s="23" t="n">
        <v>-48789</v>
      </c>
    </row>
    <row r="1205">
      <c r="A1205" t="inlineStr">
        <is>
          <t>Augmentin 625 MG</t>
        </is>
      </c>
      <c r="B1205" t="inlineStr">
        <is>
          <t>Sharqia 2</t>
        </is>
      </c>
      <c r="C1205" s="22" t="n">
        <v>45383</v>
      </c>
      <c r="D1205" t="inlineStr">
        <is>
          <t>Youssef Farouk</t>
        </is>
      </c>
      <c r="E1205" t="n">
        <v>117</v>
      </c>
      <c r="F1205" t="n">
        <v>3489</v>
      </c>
      <c r="G1205" t="n">
        <v>3125</v>
      </c>
      <c r="H1205" s="23" t="n">
        <v>408213</v>
      </c>
      <c r="I1205" s="23" t="n">
        <v>365625</v>
      </c>
      <c r="J1205" t="inlineStr">
        <is>
          <t>Apr</t>
        </is>
      </c>
      <c r="K1205" t="n">
        <v>4</v>
      </c>
      <c r="L1205" t="inlineStr">
        <is>
          <t>Q2</t>
        </is>
      </c>
      <c r="M1205" t="n">
        <v>2024</v>
      </c>
      <c r="N1205" s="22" t="n">
        <v>45383</v>
      </c>
      <c r="O1205" s="24" t="n">
        <v>1.11648</v>
      </c>
      <c r="P1205" s="23" t="n">
        <v>42588</v>
      </c>
    </row>
    <row r="1206">
      <c r="A1206" t="inlineStr">
        <is>
          <t>Augmentin 625 MG</t>
        </is>
      </c>
      <c r="B1206" t="inlineStr">
        <is>
          <t>Sharqia 2</t>
        </is>
      </c>
      <c r="C1206" s="22" t="n">
        <v>45413</v>
      </c>
      <c r="D1206" t="inlineStr">
        <is>
          <t>Youssef Farouk</t>
        </is>
      </c>
      <c r="E1206" t="n">
        <v>117</v>
      </c>
      <c r="F1206" t="n">
        <v>2245</v>
      </c>
      <c r="G1206" t="n">
        <v>2042</v>
      </c>
      <c r="H1206" s="23" t="n">
        <v>262665</v>
      </c>
      <c r="I1206" s="23" t="n">
        <v>238914</v>
      </c>
      <c r="J1206" t="inlineStr">
        <is>
          <t>May</t>
        </is>
      </c>
      <c r="K1206" t="n">
        <v>5</v>
      </c>
      <c r="L1206" t="inlineStr">
        <is>
          <t>Q2</t>
        </is>
      </c>
      <c r="M1206" t="n">
        <v>2024</v>
      </c>
      <c r="N1206" s="22" t="n">
        <v>45413</v>
      </c>
      <c r="O1206" s="24" t="n">
        <v>1.099412340842312</v>
      </c>
      <c r="P1206" s="23" t="n">
        <v>23751</v>
      </c>
    </row>
    <row r="1207">
      <c r="A1207" t="inlineStr">
        <is>
          <t>Augmentin 625 MG</t>
        </is>
      </c>
      <c r="B1207" t="inlineStr">
        <is>
          <t>Sharqia 2</t>
        </is>
      </c>
      <c r="C1207" s="22" t="n">
        <v>45444</v>
      </c>
      <c r="D1207" t="inlineStr">
        <is>
          <t>Youssef Farouk</t>
        </is>
      </c>
      <c r="E1207" t="n">
        <v>117</v>
      </c>
      <c r="F1207" t="n">
        <v>3201</v>
      </c>
      <c r="G1207" t="n">
        <v>3348</v>
      </c>
      <c r="H1207" s="23" t="n">
        <v>374517</v>
      </c>
      <c r="I1207" s="23" t="n">
        <v>391716</v>
      </c>
      <c r="J1207" t="inlineStr">
        <is>
          <t>Jun</t>
        </is>
      </c>
      <c r="K1207" t="n">
        <v>6</v>
      </c>
      <c r="L1207" t="inlineStr">
        <is>
          <t>Q2</t>
        </is>
      </c>
      <c r="M1207" t="n">
        <v>2024</v>
      </c>
      <c r="N1207" s="22" t="n">
        <v>45444</v>
      </c>
      <c r="O1207" s="24" t="n">
        <v>0.9560931899641577</v>
      </c>
      <c r="P1207" s="23" t="n">
        <v>-17199</v>
      </c>
    </row>
    <row r="1208">
      <c r="A1208" t="inlineStr">
        <is>
          <t>Augmentin 625 MG</t>
        </is>
      </c>
      <c r="B1208" t="inlineStr">
        <is>
          <t>Sharqia 2</t>
        </is>
      </c>
      <c r="C1208" s="22" t="n">
        <v>45474</v>
      </c>
      <c r="D1208" t="inlineStr">
        <is>
          <t>Youssef Farouk</t>
        </is>
      </c>
      <c r="E1208" t="n">
        <v>117</v>
      </c>
      <c r="F1208" t="n">
        <v>3632</v>
      </c>
      <c r="G1208" t="n">
        <v>3468</v>
      </c>
      <c r="H1208" s="23" t="n">
        <v>424944</v>
      </c>
      <c r="I1208" s="23" t="n">
        <v>405756</v>
      </c>
      <c r="J1208" t="inlineStr">
        <is>
          <t>Jul</t>
        </is>
      </c>
      <c r="K1208" t="n">
        <v>7</v>
      </c>
      <c r="L1208" t="inlineStr">
        <is>
          <t>Q3</t>
        </is>
      </c>
      <c r="M1208" t="n">
        <v>2024</v>
      </c>
      <c r="N1208" s="22" t="n">
        <v>45474</v>
      </c>
      <c r="O1208" s="24" t="n">
        <v>1.047289504036909</v>
      </c>
      <c r="P1208" s="23" t="n">
        <v>19188</v>
      </c>
    </row>
    <row r="1209">
      <c r="A1209" t="inlineStr">
        <is>
          <t>Augmentin 625 MG</t>
        </is>
      </c>
      <c r="B1209" t="inlineStr">
        <is>
          <t>Sharqia 2</t>
        </is>
      </c>
      <c r="C1209" s="22" t="n">
        <v>45505</v>
      </c>
      <c r="D1209" t="inlineStr">
        <is>
          <t>Youssef Farouk</t>
        </is>
      </c>
      <c r="E1209" t="n">
        <v>117</v>
      </c>
      <c r="F1209" t="n">
        <v>2895</v>
      </c>
      <c r="G1209" t="n">
        <v>2665</v>
      </c>
      <c r="H1209" s="23" t="n">
        <v>338715</v>
      </c>
      <c r="I1209" s="23" t="n">
        <v>311805</v>
      </c>
      <c r="J1209" t="inlineStr">
        <is>
          <t>Aug</t>
        </is>
      </c>
      <c r="K1209" t="n">
        <v>8</v>
      </c>
      <c r="L1209" t="inlineStr">
        <is>
          <t>Q3</t>
        </is>
      </c>
      <c r="M1209" t="n">
        <v>2024</v>
      </c>
      <c r="N1209" s="22" t="n">
        <v>45505</v>
      </c>
      <c r="O1209" s="24" t="n">
        <v>1.086303939962477</v>
      </c>
      <c r="P1209" s="23" t="n">
        <v>26910</v>
      </c>
    </row>
    <row r="1210">
      <c r="A1210" t="inlineStr">
        <is>
          <t>Augmentin 625 MG</t>
        </is>
      </c>
      <c r="B1210" t="inlineStr">
        <is>
          <t>Sharqia 2</t>
        </is>
      </c>
      <c r="C1210" s="22" t="n">
        <v>45536</v>
      </c>
      <c r="D1210" t="inlineStr">
        <is>
          <t>Youssef Farouk</t>
        </is>
      </c>
      <c r="E1210" t="n">
        <v>117</v>
      </c>
      <c r="F1210" t="n">
        <v>2463</v>
      </c>
      <c r="G1210" t="n">
        <v>2693</v>
      </c>
      <c r="H1210" s="23" t="n">
        <v>288171</v>
      </c>
      <c r="I1210" s="23" t="n">
        <v>315081</v>
      </c>
      <c r="J1210" t="inlineStr">
        <is>
          <t>Sep</t>
        </is>
      </c>
      <c r="K1210" t="n">
        <v>9</v>
      </c>
      <c r="L1210" t="inlineStr">
        <is>
          <t>Q3</t>
        </is>
      </c>
      <c r="M1210" t="n">
        <v>2024</v>
      </c>
      <c r="N1210" s="22" t="n">
        <v>45536</v>
      </c>
      <c r="O1210" s="24" t="n">
        <v>0.9145933902710731</v>
      </c>
      <c r="P1210" s="23" t="n">
        <v>-26910</v>
      </c>
    </row>
    <row r="1211">
      <c r="A1211" t="inlineStr">
        <is>
          <t>Augmentin 625 MG</t>
        </is>
      </c>
      <c r="B1211" t="inlineStr">
        <is>
          <t>Sharqia 2</t>
        </is>
      </c>
      <c r="C1211" s="22" t="n">
        <v>45566</v>
      </c>
      <c r="D1211" t="inlineStr">
        <is>
          <t>Youssef Farouk</t>
        </is>
      </c>
      <c r="E1211" t="n">
        <v>117</v>
      </c>
      <c r="F1211" t="n">
        <v>3410</v>
      </c>
      <c r="G1211" t="n">
        <v>3573</v>
      </c>
      <c r="H1211" s="23" t="n">
        <v>398970</v>
      </c>
      <c r="I1211" s="23" t="n">
        <v>418041</v>
      </c>
      <c r="J1211" t="inlineStr">
        <is>
          <t>Oct</t>
        </is>
      </c>
      <c r="K1211" t="n">
        <v>10</v>
      </c>
      <c r="L1211" t="inlineStr">
        <is>
          <t>Q4</t>
        </is>
      </c>
      <c r="M1211" t="n">
        <v>2024</v>
      </c>
      <c r="N1211" s="22" t="n">
        <v>45566</v>
      </c>
      <c r="O1211" s="24" t="n">
        <v>0.9543800727679821</v>
      </c>
      <c r="P1211" s="23" t="n">
        <v>-19071</v>
      </c>
    </row>
    <row r="1212">
      <c r="A1212" t="inlineStr">
        <is>
          <t>Augmentin 625 MG</t>
        </is>
      </c>
      <c r="B1212" t="inlineStr">
        <is>
          <t>Sharqia 2</t>
        </is>
      </c>
      <c r="C1212" s="22" t="n">
        <v>45597</v>
      </c>
      <c r="D1212" t="inlineStr">
        <is>
          <t>Youssef Farouk</t>
        </is>
      </c>
      <c r="E1212" t="n">
        <v>117</v>
      </c>
      <c r="F1212" t="n">
        <v>2805</v>
      </c>
      <c r="G1212" t="n">
        <v>3233</v>
      </c>
      <c r="H1212" s="23" t="n">
        <v>328185</v>
      </c>
      <c r="I1212" s="23" t="n">
        <v>378261</v>
      </c>
      <c r="J1212" t="inlineStr">
        <is>
          <t>Nov</t>
        </is>
      </c>
      <c r="K1212" t="n">
        <v>11</v>
      </c>
      <c r="L1212" t="inlineStr">
        <is>
          <t>Q4</t>
        </is>
      </c>
      <c r="M1212" t="n">
        <v>2024</v>
      </c>
      <c r="N1212" s="22" t="n">
        <v>45597</v>
      </c>
      <c r="O1212" s="24" t="n">
        <v>0.8676152180637179</v>
      </c>
      <c r="P1212" s="23" t="n">
        <v>-50076</v>
      </c>
    </row>
    <row r="1213">
      <c r="A1213" t="inlineStr">
        <is>
          <t>Augmentin 625 MG</t>
        </is>
      </c>
      <c r="B1213" t="inlineStr">
        <is>
          <t>Sharqia 2</t>
        </is>
      </c>
      <c r="C1213" s="22" t="n">
        <v>45627</v>
      </c>
      <c r="D1213" t="inlineStr">
        <is>
          <t>Youssef Farouk</t>
        </is>
      </c>
      <c r="E1213" t="n">
        <v>117</v>
      </c>
      <c r="F1213" t="n">
        <v>2899</v>
      </c>
      <c r="G1213" t="n">
        <v>3162</v>
      </c>
      <c r="H1213" s="23" t="n">
        <v>339183</v>
      </c>
      <c r="I1213" s="23" t="n">
        <v>369954</v>
      </c>
      <c r="J1213" t="inlineStr">
        <is>
          <t>Dec</t>
        </is>
      </c>
      <c r="K1213" t="n">
        <v>12</v>
      </c>
      <c r="L1213" t="inlineStr">
        <is>
          <t>Q4</t>
        </is>
      </c>
      <c r="M1213" t="n">
        <v>2024</v>
      </c>
      <c r="N1213" s="22" t="n">
        <v>45627</v>
      </c>
      <c r="O1213" s="24" t="n">
        <v>0.9168247944339026</v>
      </c>
      <c r="P1213" s="23" t="n">
        <v>-30771</v>
      </c>
    </row>
    <row r="1214">
      <c r="A1214" t="inlineStr">
        <is>
          <t>Augmentin 1000 MG</t>
        </is>
      </c>
      <c r="B1214" t="inlineStr">
        <is>
          <t>Alexandria 1</t>
        </is>
      </c>
      <c r="C1214" s="22" t="n">
        <v>45292</v>
      </c>
      <c r="D1214" t="inlineStr">
        <is>
          <t>Ahmed Hassan</t>
        </is>
      </c>
      <c r="E1214" t="n">
        <v>210</v>
      </c>
      <c r="F1214" t="n">
        <v>3385</v>
      </c>
      <c r="G1214" t="n">
        <v>2800</v>
      </c>
      <c r="H1214" s="23" t="n">
        <v>710850</v>
      </c>
      <c r="I1214" s="23" t="n">
        <v>588000</v>
      </c>
      <c r="J1214" t="inlineStr">
        <is>
          <t>Jan</t>
        </is>
      </c>
      <c r="K1214" t="n">
        <v>1</v>
      </c>
      <c r="L1214" t="inlineStr">
        <is>
          <t>Q1</t>
        </is>
      </c>
      <c r="M1214" t="n">
        <v>2024</v>
      </c>
      <c r="N1214" s="22" t="n">
        <v>45292</v>
      </c>
      <c r="O1214" s="24" t="n">
        <v>1.208928571428571</v>
      </c>
      <c r="P1214" s="23" t="n">
        <v>122850</v>
      </c>
    </row>
    <row r="1215">
      <c r="A1215" t="inlineStr">
        <is>
          <t>Augmentin 1000 MG</t>
        </is>
      </c>
      <c r="B1215" t="inlineStr">
        <is>
          <t>Alexandria 1</t>
        </is>
      </c>
      <c r="C1215" s="22" t="n">
        <v>45323</v>
      </c>
      <c r="D1215" t="inlineStr">
        <is>
          <t>Ahmed Hassan</t>
        </is>
      </c>
      <c r="E1215" t="n">
        <v>210</v>
      </c>
      <c r="F1215" t="n">
        <v>3440</v>
      </c>
      <c r="G1215" t="n">
        <v>3437</v>
      </c>
      <c r="H1215" s="23" t="n">
        <v>722400</v>
      </c>
      <c r="I1215" s="23" t="n">
        <v>721770</v>
      </c>
      <c r="J1215" t="inlineStr">
        <is>
          <t>Feb</t>
        </is>
      </c>
      <c r="K1215" t="n">
        <v>2</v>
      </c>
      <c r="L1215" t="inlineStr">
        <is>
          <t>Q1</t>
        </is>
      </c>
      <c r="M1215" t="n">
        <v>2024</v>
      </c>
      <c r="N1215" s="22" t="n">
        <v>45323</v>
      </c>
      <c r="O1215" s="24" t="n">
        <v>1.000872854233343</v>
      </c>
      <c r="P1215" s="23" t="n">
        <v>630</v>
      </c>
    </row>
    <row r="1216">
      <c r="A1216" t="inlineStr">
        <is>
          <t>Augmentin 1000 MG</t>
        </is>
      </c>
      <c r="B1216" t="inlineStr">
        <is>
          <t>Alexandria 1</t>
        </is>
      </c>
      <c r="C1216" s="22" t="n">
        <v>45352</v>
      </c>
      <c r="D1216" t="inlineStr">
        <is>
          <t>Ahmed Hassan</t>
        </is>
      </c>
      <c r="E1216" t="n">
        <v>210</v>
      </c>
      <c r="F1216" t="n">
        <v>2734</v>
      </c>
      <c r="G1216" t="n">
        <v>2957</v>
      </c>
      <c r="H1216" s="23" t="n">
        <v>574140</v>
      </c>
      <c r="I1216" s="23" t="n">
        <v>620970</v>
      </c>
      <c r="J1216" t="inlineStr">
        <is>
          <t>Mar</t>
        </is>
      </c>
      <c r="K1216" t="n">
        <v>3</v>
      </c>
      <c r="L1216" t="inlineStr">
        <is>
          <t>Q1</t>
        </is>
      </c>
      <c r="M1216" t="n">
        <v>2024</v>
      </c>
      <c r="N1216" s="22" t="n">
        <v>45352</v>
      </c>
      <c r="O1216" s="24" t="n">
        <v>0.9245857287791681</v>
      </c>
      <c r="P1216" s="23" t="n">
        <v>-46830</v>
      </c>
    </row>
    <row r="1217">
      <c r="A1217" t="inlineStr">
        <is>
          <t>Augmentin 1000 MG</t>
        </is>
      </c>
      <c r="B1217" t="inlineStr">
        <is>
          <t>Alexandria 1</t>
        </is>
      </c>
      <c r="C1217" s="22" t="n">
        <v>45383</v>
      </c>
      <c r="D1217" t="inlineStr">
        <is>
          <t>Ahmed Hassan</t>
        </is>
      </c>
      <c r="E1217" t="n">
        <v>210</v>
      </c>
      <c r="F1217" t="n">
        <v>2161</v>
      </c>
      <c r="G1217" t="n">
        <v>2091</v>
      </c>
      <c r="H1217" s="23" t="n">
        <v>453810</v>
      </c>
      <c r="I1217" s="23" t="n">
        <v>439110</v>
      </c>
      <c r="J1217" t="inlineStr">
        <is>
          <t>Apr</t>
        </is>
      </c>
      <c r="K1217" t="n">
        <v>4</v>
      </c>
      <c r="L1217" t="inlineStr">
        <is>
          <t>Q2</t>
        </is>
      </c>
      <c r="M1217" t="n">
        <v>2024</v>
      </c>
      <c r="N1217" s="22" t="n">
        <v>45383</v>
      </c>
      <c r="O1217" s="24" t="n">
        <v>1.033476805356289</v>
      </c>
      <c r="P1217" s="23" t="n">
        <v>14700</v>
      </c>
    </row>
    <row r="1218">
      <c r="A1218" t="inlineStr">
        <is>
          <t>Augmentin 1000 MG</t>
        </is>
      </c>
      <c r="B1218" t="inlineStr">
        <is>
          <t>Alexandria 1</t>
        </is>
      </c>
      <c r="C1218" s="22" t="n">
        <v>45413</v>
      </c>
      <c r="D1218" t="inlineStr">
        <is>
          <t>Ahmed Hassan</t>
        </is>
      </c>
      <c r="E1218" t="n">
        <v>210</v>
      </c>
      <c r="F1218" t="n">
        <v>2557</v>
      </c>
      <c r="G1218" t="n">
        <v>2729</v>
      </c>
      <c r="H1218" s="23" t="n">
        <v>536970</v>
      </c>
      <c r="I1218" s="23" t="n">
        <v>573090</v>
      </c>
      <c r="J1218" t="inlineStr">
        <is>
          <t>May</t>
        </is>
      </c>
      <c r="K1218" t="n">
        <v>5</v>
      </c>
      <c r="L1218" t="inlineStr">
        <is>
          <t>Q2</t>
        </is>
      </c>
      <c r="M1218" t="n">
        <v>2024</v>
      </c>
      <c r="N1218" s="22" t="n">
        <v>45413</v>
      </c>
      <c r="O1218" s="24" t="n">
        <v>0.9369732502748259</v>
      </c>
      <c r="P1218" s="23" t="n">
        <v>-36120</v>
      </c>
    </row>
    <row r="1219">
      <c r="A1219" t="inlineStr">
        <is>
          <t>Augmentin 1000 MG</t>
        </is>
      </c>
      <c r="B1219" t="inlineStr">
        <is>
          <t>Alexandria 1</t>
        </is>
      </c>
      <c r="C1219" s="22" t="n">
        <v>45444</v>
      </c>
      <c r="D1219" t="inlineStr">
        <is>
          <t>Ahmed Hassan</t>
        </is>
      </c>
      <c r="E1219" t="n">
        <v>210</v>
      </c>
      <c r="F1219" t="n">
        <v>2263</v>
      </c>
      <c r="G1219" t="n">
        <v>2216</v>
      </c>
      <c r="H1219" s="23" t="n">
        <v>475230</v>
      </c>
      <c r="I1219" s="23" t="n">
        <v>465360</v>
      </c>
      <c r="J1219" t="inlineStr">
        <is>
          <t>Jun</t>
        </is>
      </c>
      <c r="K1219" t="n">
        <v>6</v>
      </c>
      <c r="L1219" t="inlineStr">
        <is>
          <t>Q2</t>
        </is>
      </c>
      <c r="M1219" t="n">
        <v>2024</v>
      </c>
      <c r="N1219" s="22" t="n">
        <v>45444</v>
      </c>
      <c r="O1219" s="24" t="n">
        <v>1.021209386281589</v>
      </c>
      <c r="P1219" s="23" t="n">
        <v>9870</v>
      </c>
    </row>
    <row r="1220">
      <c r="A1220" t="inlineStr">
        <is>
          <t>Augmentin 1000 MG</t>
        </is>
      </c>
      <c r="B1220" t="inlineStr">
        <is>
          <t>Alexandria 1</t>
        </is>
      </c>
      <c r="C1220" s="22" t="n">
        <v>45474</v>
      </c>
      <c r="D1220" t="inlineStr">
        <is>
          <t>Ahmed Hassan</t>
        </is>
      </c>
      <c r="E1220" t="n">
        <v>210</v>
      </c>
      <c r="F1220" t="n">
        <v>2608</v>
      </c>
      <c r="G1220" t="n">
        <v>2378</v>
      </c>
      <c r="H1220" s="23" t="n">
        <v>547680</v>
      </c>
      <c r="I1220" s="23" t="n">
        <v>499380</v>
      </c>
      <c r="J1220" t="inlineStr">
        <is>
          <t>Jul</t>
        </is>
      </c>
      <c r="K1220" t="n">
        <v>7</v>
      </c>
      <c r="L1220" t="inlineStr">
        <is>
          <t>Q3</t>
        </is>
      </c>
      <c r="M1220" t="n">
        <v>2024</v>
      </c>
      <c r="N1220" s="22" t="n">
        <v>45474</v>
      </c>
      <c r="O1220" s="24" t="n">
        <v>1.096719932716569</v>
      </c>
      <c r="P1220" s="23" t="n">
        <v>48300</v>
      </c>
    </row>
    <row r="1221">
      <c r="A1221" t="inlineStr">
        <is>
          <t>Augmentin 1000 MG</t>
        </is>
      </c>
      <c r="B1221" t="inlineStr">
        <is>
          <t>Alexandria 1</t>
        </is>
      </c>
      <c r="C1221" s="22" t="n">
        <v>45505</v>
      </c>
      <c r="D1221" t="inlineStr">
        <is>
          <t>Ahmed Hassan</t>
        </is>
      </c>
      <c r="E1221" t="n">
        <v>210</v>
      </c>
      <c r="F1221" t="n">
        <v>3447</v>
      </c>
      <c r="G1221" t="n">
        <v>3762</v>
      </c>
      <c r="H1221" s="23" t="n">
        <v>723870</v>
      </c>
      <c r="I1221" s="23" t="n">
        <v>790020</v>
      </c>
      <c r="J1221" t="inlineStr">
        <is>
          <t>Aug</t>
        </is>
      </c>
      <c r="K1221" t="n">
        <v>8</v>
      </c>
      <c r="L1221" t="inlineStr">
        <is>
          <t>Q3</t>
        </is>
      </c>
      <c r="M1221" t="n">
        <v>2024</v>
      </c>
      <c r="N1221" s="22" t="n">
        <v>45505</v>
      </c>
      <c r="O1221" s="24" t="n">
        <v>0.916267942583732</v>
      </c>
      <c r="P1221" s="23" t="n">
        <v>-66150</v>
      </c>
    </row>
    <row r="1222">
      <c r="A1222" t="inlineStr">
        <is>
          <t>Augmentin 1000 MG</t>
        </is>
      </c>
      <c r="B1222" t="inlineStr">
        <is>
          <t>Alexandria 1</t>
        </is>
      </c>
      <c r="C1222" s="22" t="n">
        <v>45536</v>
      </c>
      <c r="D1222" t="inlineStr">
        <is>
          <t>Ahmed Hassan</t>
        </is>
      </c>
      <c r="E1222" t="n">
        <v>210</v>
      </c>
      <c r="F1222" t="n">
        <v>2542</v>
      </c>
      <c r="G1222" t="n">
        <v>2563</v>
      </c>
      <c r="H1222" s="23" t="n">
        <v>533820</v>
      </c>
      <c r="I1222" s="23" t="n">
        <v>538230</v>
      </c>
      <c r="J1222" t="inlineStr">
        <is>
          <t>Sep</t>
        </is>
      </c>
      <c r="K1222" t="n">
        <v>9</v>
      </c>
      <c r="L1222" t="inlineStr">
        <is>
          <t>Q3</t>
        </is>
      </c>
      <c r="M1222" t="n">
        <v>2024</v>
      </c>
      <c r="N1222" s="22" t="n">
        <v>45536</v>
      </c>
      <c r="O1222" s="24" t="n">
        <v>0.9918064767850175</v>
      </c>
      <c r="P1222" s="23" t="n">
        <v>-4410</v>
      </c>
    </row>
    <row r="1223">
      <c r="A1223" t="inlineStr">
        <is>
          <t>Augmentin 1000 MG</t>
        </is>
      </c>
      <c r="B1223" t="inlineStr">
        <is>
          <t>Alexandria 1</t>
        </is>
      </c>
      <c r="C1223" s="22" t="n">
        <v>45566</v>
      </c>
      <c r="D1223" t="inlineStr">
        <is>
          <t>Ahmed Hassan</t>
        </is>
      </c>
      <c r="E1223" t="n">
        <v>210</v>
      </c>
      <c r="F1223" t="n">
        <v>3254</v>
      </c>
      <c r="G1223" t="n">
        <v>3012</v>
      </c>
      <c r="H1223" s="23" t="n">
        <v>683340</v>
      </c>
      <c r="I1223" s="23" t="n">
        <v>632520</v>
      </c>
      <c r="J1223" t="inlineStr">
        <is>
          <t>Oct</t>
        </is>
      </c>
      <c r="K1223" t="n">
        <v>10</v>
      </c>
      <c r="L1223" t="inlineStr">
        <is>
          <t>Q4</t>
        </is>
      </c>
      <c r="M1223" t="n">
        <v>2024</v>
      </c>
      <c r="N1223" s="22" t="n">
        <v>45566</v>
      </c>
      <c r="O1223" s="24" t="n">
        <v>1.080345285524568</v>
      </c>
      <c r="P1223" s="23" t="n">
        <v>50820</v>
      </c>
    </row>
    <row r="1224">
      <c r="A1224" t="inlineStr">
        <is>
          <t>Augmentin 1000 MG</t>
        </is>
      </c>
      <c r="B1224" t="inlineStr">
        <is>
          <t>Alexandria 1</t>
        </is>
      </c>
      <c r="C1224" s="22" t="n">
        <v>45597</v>
      </c>
      <c r="D1224" t="inlineStr">
        <is>
          <t>Ahmed Hassan</t>
        </is>
      </c>
      <c r="E1224" t="n">
        <v>210</v>
      </c>
      <c r="F1224" t="n">
        <v>3548</v>
      </c>
      <c r="G1224" t="n">
        <v>3282</v>
      </c>
      <c r="H1224" s="23" t="n">
        <v>745080</v>
      </c>
      <c r="I1224" s="23" t="n">
        <v>689220</v>
      </c>
      <c r="J1224" t="inlineStr">
        <is>
          <t>Nov</t>
        </is>
      </c>
      <c r="K1224" t="n">
        <v>11</v>
      </c>
      <c r="L1224" t="inlineStr">
        <is>
          <t>Q4</t>
        </is>
      </c>
      <c r="M1224" t="n">
        <v>2024</v>
      </c>
      <c r="N1224" s="22" t="n">
        <v>45597</v>
      </c>
      <c r="O1224" s="24" t="n">
        <v>1.081048141377209</v>
      </c>
      <c r="P1224" s="23" t="n">
        <v>55860</v>
      </c>
    </row>
    <row r="1225">
      <c r="A1225" t="inlineStr">
        <is>
          <t>Augmentin 1000 MG</t>
        </is>
      </c>
      <c r="B1225" t="inlineStr">
        <is>
          <t>Alexandria 1</t>
        </is>
      </c>
      <c r="C1225" s="22" t="n">
        <v>45627</v>
      </c>
      <c r="D1225" t="inlineStr">
        <is>
          <t>Ahmed Hassan</t>
        </is>
      </c>
      <c r="E1225" t="n">
        <v>210</v>
      </c>
      <c r="F1225" t="n">
        <v>2298</v>
      </c>
      <c r="G1225" t="n">
        <v>2563</v>
      </c>
      <c r="H1225" s="23" t="n">
        <v>482580</v>
      </c>
      <c r="I1225" s="23" t="n">
        <v>538230</v>
      </c>
      <c r="J1225" t="inlineStr">
        <is>
          <t>Dec</t>
        </is>
      </c>
      <c r="K1225" t="n">
        <v>12</v>
      </c>
      <c r="L1225" t="inlineStr">
        <is>
          <t>Q4</t>
        </is>
      </c>
      <c r="M1225" t="n">
        <v>2024</v>
      </c>
      <c r="N1225" s="22" t="n">
        <v>45627</v>
      </c>
      <c r="O1225" s="24" t="n">
        <v>0.8966055403823644</v>
      </c>
      <c r="P1225" s="23" t="n">
        <v>-55650</v>
      </c>
    </row>
    <row r="1226">
      <c r="A1226" t="inlineStr">
        <is>
          <t>Augmentin 1000 MG</t>
        </is>
      </c>
      <c r="B1226" t="inlineStr">
        <is>
          <t>Alexandria 2</t>
        </is>
      </c>
      <c r="C1226" s="22" t="n">
        <v>45292</v>
      </c>
      <c r="D1226" t="inlineStr">
        <is>
          <t>Amira Mostafa</t>
        </is>
      </c>
      <c r="E1226" t="n">
        <v>210</v>
      </c>
      <c r="F1226" t="n">
        <v>3692</v>
      </c>
      <c r="G1226" t="n">
        <v>3669</v>
      </c>
      <c r="H1226" s="23" t="n">
        <v>775320</v>
      </c>
      <c r="I1226" s="23" t="n">
        <v>770490</v>
      </c>
      <c r="J1226" t="inlineStr">
        <is>
          <t>Jan</t>
        </is>
      </c>
      <c r="K1226" t="n">
        <v>1</v>
      </c>
      <c r="L1226" t="inlineStr">
        <is>
          <t>Q1</t>
        </is>
      </c>
      <c r="M1226" t="n">
        <v>2024</v>
      </c>
      <c r="N1226" s="22" t="n">
        <v>45292</v>
      </c>
      <c r="O1226" s="24" t="n">
        <v>1.00626873807577</v>
      </c>
      <c r="P1226" s="23" t="n">
        <v>4830</v>
      </c>
    </row>
    <row r="1227">
      <c r="A1227" t="inlineStr">
        <is>
          <t>Augmentin 1000 MG</t>
        </is>
      </c>
      <c r="B1227" t="inlineStr">
        <is>
          <t>Alexandria 2</t>
        </is>
      </c>
      <c r="C1227" s="22" t="n">
        <v>45323</v>
      </c>
      <c r="D1227" t="inlineStr">
        <is>
          <t>Amira Mostafa</t>
        </is>
      </c>
      <c r="E1227" t="n">
        <v>210</v>
      </c>
      <c r="F1227" t="n">
        <v>3025</v>
      </c>
      <c r="G1227" t="n">
        <v>3277</v>
      </c>
      <c r="H1227" s="23" t="n">
        <v>635250</v>
      </c>
      <c r="I1227" s="23" t="n">
        <v>688170</v>
      </c>
      <c r="J1227" t="inlineStr">
        <is>
          <t>Feb</t>
        </is>
      </c>
      <c r="K1227" t="n">
        <v>2</v>
      </c>
      <c r="L1227" t="inlineStr">
        <is>
          <t>Q1</t>
        </is>
      </c>
      <c r="M1227" t="n">
        <v>2024</v>
      </c>
      <c r="N1227" s="22" t="n">
        <v>45323</v>
      </c>
      <c r="O1227" s="24" t="n">
        <v>0.9231003967043027</v>
      </c>
      <c r="P1227" s="23" t="n">
        <v>-52920</v>
      </c>
    </row>
    <row r="1228">
      <c r="A1228" t="inlineStr">
        <is>
          <t>Augmentin 1000 MG</t>
        </is>
      </c>
      <c r="B1228" t="inlineStr">
        <is>
          <t>Alexandria 2</t>
        </is>
      </c>
      <c r="C1228" s="22" t="n">
        <v>45352</v>
      </c>
      <c r="D1228" t="inlineStr">
        <is>
          <t>Amira Mostafa</t>
        </is>
      </c>
      <c r="E1228" t="n">
        <v>210</v>
      </c>
      <c r="F1228" t="n">
        <v>2217</v>
      </c>
      <c r="G1228" t="n">
        <v>2323</v>
      </c>
      <c r="H1228" s="23" t="n">
        <v>465570</v>
      </c>
      <c r="I1228" s="23" t="n">
        <v>487830</v>
      </c>
      <c r="J1228" t="inlineStr">
        <is>
          <t>Mar</t>
        </is>
      </c>
      <c r="K1228" t="n">
        <v>3</v>
      </c>
      <c r="L1228" t="inlineStr">
        <is>
          <t>Q1</t>
        </is>
      </c>
      <c r="M1228" t="n">
        <v>2024</v>
      </c>
      <c r="N1228" s="22" t="n">
        <v>45352</v>
      </c>
      <c r="O1228" s="24" t="n">
        <v>0.9543693499784761</v>
      </c>
      <c r="P1228" s="23" t="n">
        <v>-22260</v>
      </c>
    </row>
    <row r="1229">
      <c r="A1229" t="inlineStr">
        <is>
          <t>Augmentin 1000 MG</t>
        </is>
      </c>
      <c r="B1229" t="inlineStr">
        <is>
          <t>Alexandria 2</t>
        </is>
      </c>
      <c r="C1229" s="22" t="n">
        <v>45383</v>
      </c>
      <c r="D1229" t="inlineStr">
        <is>
          <t>Amira Mostafa</t>
        </is>
      </c>
      <c r="E1229" t="n">
        <v>210</v>
      </c>
      <c r="F1229" t="n">
        <v>2166</v>
      </c>
      <c r="G1229" t="n">
        <v>2301</v>
      </c>
      <c r="H1229" s="23" t="n">
        <v>454860</v>
      </c>
      <c r="I1229" s="23" t="n">
        <v>483210</v>
      </c>
      <c r="J1229" t="inlineStr">
        <is>
          <t>Apr</t>
        </is>
      </c>
      <c r="K1229" t="n">
        <v>4</v>
      </c>
      <c r="L1229" t="inlineStr">
        <is>
          <t>Q2</t>
        </is>
      </c>
      <c r="M1229" t="n">
        <v>2024</v>
      </c>
      <c r="N1229" s="22" t="n">
        <v>45383</v>
      </c>
      <c r="O1229" s="24" t="n">
        <v>0.9413298565840938</v>
      </c>
      <c r="P1229" s="23" t="n">
        <v>-28350</v>
      </c>
    </row>
    <row r="1230">
      <c r="A1230" t="inlineStr">
        <is>
          <t>Augmentin 1000 MG</t>
        </is>
      </c>
      <c r="B1230" t="inlineStr">
        <is>
          <t>Alexandria 2</t>
        </is>
      </c>
      <c r="C1230" s="22" t="n">
        <v>45413</v>
      </c>
      <c r="D1230" t="inlineStr">
        <is>
          <t>Amira Mostafa</t>
        </is>
      </c>
      <c r="E1230" t="n">
        <v>210</v>
      </c>
      <c r="F1230" t="n">
        <v>3214</v>
      </c>
      <c r="G1230" t="n">
        <v>3008</v>
      </c>
      <c r="H1230" s="23" t="n">
        <v>674940</v>
      </c>
      <c r="I1230" s="23" t="n">
        <v>631680</v>
      </c>
      <c r="J1230" t="inlineStr">
        <is>
          <t>May</t>
        </is>
      </c>
      <c r="K1230" t="n">
        <v>5</v>
      </c>
      <c r="L1230" t="inlineStr">
        <is>
          <t>Q2</t>
        </is>
      </c>
      <c r="M1230" t="n">
        <v>2024</v>
      </c>
      <c r="N1230" s="22" t="n">
        <v>45413</v>
      </c>
      <c r="O1230" s="24" t="n">
        <v>1.068484042553191</v>
      </c>
      <c r="P1230" s="23" t="n">
        <v>43260</v>
      </c>
    </row>
    <row r="1231">
      <c r="A1231" t="inlineStr">
        <is>
          <t>Augmentin 1000 MG</t>
        </is>
      </c>
      <c r="B1231" t="inlineStr">
        <is>
          <t>Alexandria 2</t>
        </is>
      </c>
      <c r="C1231" s="22" t="n">
        <v>45444</v>
      </c>
      <c r="D1231" t="inlineStr">
        <is>
          <t>Amira Mostafa</t>
        </is>
      </c>
      <c r="E1231" t="n">
        <v>210</v>
      </c>
      <c r="F1231" t="n">
        <v>3806</v>
      </c>
      <c r="G1231" t="n">
        <v>3854</v>
      </c>
      <c r="H1231" s="23" t="n">
        <v>799260</v>
      </c>
      <c r="I1231" s="23" t="n">
        <v>809340</v>
      </c>
      <c r="J1231" t="inlineStr">
        <is>
          <t>Jun</t>
        </is>
      </c>
      <c r="K1231" t="n">
        <v>6</v>
      </c>
      <c r="L1231" t="inlineStr">
        <is>
          <t>Q2</t>
        </is>
      </c>
      <c r="M1231" t="n">
        <v>2024</v>
      </c>
      <c r="N1231" s="22" t="n">
        <v>45444</v>
      </c>
      <c r="O1231" s="24" t="n">
        <v>0.9875454073689673</v>
      </c>
      <c r="P1231" s="23" t="n">
        <v>-10080</v>
      </c>
    </row>
    <row r="1232">
      <c r="A1232" t="inlineStr">
        <is>
          <t>Augmentin 1000 MG</t>
        </is>
      </c>
      <c r="B1232" t="inlineStr">
        <is>
          <t>Alexandria 2</t>
        </is>
      </c>
      <c r="C1232" s="22" t="n">
        <v>45474</v>
      </c>
      <c r="D1232" t="inlineStr">
        <is>
          <t>Amira Mostafa</t>
        </is>
      </c>
      <c r="E1232" t="n">
        <v>210</v>
      </c>
      <c r="F1232" t="n">
        <v>3504</v>
      </c>
      <c r="G1232" t="n">
        <v>3926</v>
      </c>
      <c r="H1232" s="23" t="n">
        <v>735840</v>
      </c>
      <c r="I1232" s="23" t="n">
        <v>824460</v>
      </c>
      <c r="J1232" t="inlineStr">
        <is>
          <t>Jul</t>
        </is>
      </c>
      <c r="K1232" t="n">
        <v>7</v>
      </c>
      <c r="L1232" t="inlineStr">
        <is>
          <t>Q3</t>
        </is>
      </c>
      <c r="M1232" t="n">
        <v>2024</v>
      </c>
      <c r="N1232" s="22" t="n">
        <v>45474</v>
      </c>
      <c r="O1232" s="24" t="n">
        <v>0.8925114620478859</v>
      </c>
      <c r="P1232" s="23" t="n">
        <v>-88620</v>
      </c>
    </row>
    <row r="1233">
      <c r="A1233" t="inlineStr">
        <is>
          <t>Augmentin 1000 MG</t>
        </is>
      </c>
      <c r="B1233" t="inlineStr">
        <is>
          <t>Alexandria 2</t>
        </is>
      </c>
      <c r="C1233" s="22" t="n">
        <v>45505</v>
      </c>
      <c r="D1233" t="inlineStr">
        <is>
          <t>Amira Mostafa</t>
        </is>
      </c>
      <c r="E1233" t="n">
        <v>210</v>
      </c>
      <c r="F1233" t="n">
        <v>2350</v>
      </c>
      <c r="G1233" t="n">
        <v>2661</v>
      </c>
      <c r="H1233" s="23" t="n">
        <v>493500</v>
      </c>
      <c r="I1233" s="23" t="n">
        <v>558810</v>
      </c>
      <c r="J1233" t="inlineStr">
        <is>
          <t>Aug</t>
        </is>
      </c>
      <c r="K1233" t="n">
        <v>8</v>
      </c>
      <c r="L1233" t="inlineStr">
        <is>
          <t>Q3</t>
        </is>
      </c>
      <c r="M1233" t="n">
        <v>2024</v>
      </c>
      <c r="N1233" s="22" t="n">
        <v>45505</v>
      </c>
      <c r="O1233" s="24" t="n">
        <v>0.8831266441187523</v>
      </c>
      <c r="P1233" s="23" t="n">
        <v>-65310</v>
      </c>
    </row>
    <row r="1234">
      <c r="A1234" t="inlineStr">
        <is>
          <t>Augmentin 1000 MG</t>
        </is>
      </c>
      <c r="B1234" t="inlineStr">
        <is>
          <t>Alexandria 2</t>
        </is>
      </c>
      <c r="C1234" s="22" t="n">
        <v>45536</v>
      </c>
      <c r="D1234" t="inlineStr">
        <is>
          <t>Amira Mostafa</t>
        </is>
      </c>
      <c r="E1234" t="n">
        <v>210</v>
      </c>
      <c r="F1234" t="n">
        <v>2362</v>
      </c>
      <c r="G1234" t="n">
        <v>2434</v>
      </c>
      <c r="H1234" s="23" t="n">
        <v>496020</v>
      </c>
      <c r="I1234" s="23" t="n">
        <v>511140</v>
      </c>
      <c r="J1234" t="inlineStr">
        <is>
          <t>Sep</t>
        </is>
      </c>
      <c r="K1234" t="n">
        <v>9</v>
      </c>
      <c r="L1234" t="inlineStr">
        <is>
          <t>Q3</t>
        </is>
      </c>
      <c r="M1234" t="n">
        <v>2024</v>
      </c>
      <c r="N1234" s="22" t="n">
        <v>45536</v>
      </c>
      <c r="O1234" s="24" t="n">
        <v>0.9704190632703369</v>
      </c>
      <c r="P1234" s="23" t="n">
        <v>-15120</v>
      </c>
    </row>
    <row r="1235">
      <c r="A1235" t="inlineStr">
        <is>
          <t>Augmentin 1000 MG</t>
        </is>
      </c>
      <c r="B1235" t="inlineStr">
        <is>
          <t>Alexandria 2</t>
        </is>
      </c>
      <c r="C1235" s="22" t="n">
        <v>45566</v>
      </c>
      <c r="D1235" t="inlineStr">
        <is>
          <t>Amira Mostafa</t>
        </is>
      </c>
      <c r="E1235" t="n">
        <v>210</v>
      </c>
      <c r="F1235" t="n">
        <v>2213</v>
      </c>
      <c r="G1235" t="n">
        <v>2113</v>
      </c>
      <c r="H1235" s="23" t="n">
        <v>464730</v>
      </c>
      <c r="I1235" s="23" t="n">
        <v>443730</v>
      </c>
      <c r="J1235" t="inlineStr">
        <is>
          <t>Oct</t>
        </is>
      </c>
      <c r="K1235" t="n">
        <v>10</v>
      </c>
      <c r="L1235" t="inlineStr">
        <is>
          <t>Q4</t>
        </is>
      </c>
      <c r="M1235" t="n">
        <v>2024</v>
      </c>
      <c r="N1235" s="22" t="n">
        <v>45566</v>
      </c>
      <c r="O1235" s="24" t="n">
        <v>1.047326076668244</v>
      </c>
      <c r="P1235" s="23" t="n">
        <v>21000</v>
      </c>
    </row>
    <row r="1236">
      <c r="A1236" t="inlineStr">
        <is>
          <t>Augmentin 1000 MG</t>
        </is>
      </c>
      <c r="B1236" t="inlineStr">
        <is>
          <t>Alexandria 2</t>
        </is>
      </c>
      <c r="C1236" s="22" t="n">
        <v>45597</v>
      </c>
      <c r="D1236" t="inlineStr">
        <is>
          <t>Amira Mostafa</t>
        </is>
      </c>
      <c r="E1236" t="n">
        <v>210</v>
      </c>
      <c r="F1236" t="n">
        <v>2682</v>
      </c>
      <c r="G1236" t="n">
        <v>3031</v>
      </c>
      <c r="H1236" s="23" t="n">
        <v>563220</v>
      </c>
      <c r="I1236" s="23" t="n">
        <v>636510</v>
      </c>
      <c r="J1236" t="inlineStr">
        <is>
          <t>Nov</t>
        </is>
      </c>
      <c r="K1236" t="n">
        <v>11</v>
      </c>
      <c r="L1236" t="inlineStr">
        <is>
          <t>Q4</t>
        </is>
      </c>
      <c r="M1236" t="n">
        <v>2024</v>
      </c>
      <c r="N1236" s="22" t="n">
        <v>45597</v>
      </c>
      <c r="O1236" s="24" t="n">
        <v>0.884856483008908</v>
      </c>
      <c r="P1236" s="23" t="n">
        <v>-73290</v>
      </c>
    </row>
    <row r="1237">
      <c r="A1237" t="inlineStr">
        <is>
          <t>Augmentin 1000 MG</t>
        </is>
      </c>
      <c r="B1237" t="inlineStr">
        <is>
          <t>Alexandria 2</t>
        </is>
      </c>
      <c r="C1237" s="22" t="n">
        <v>45627</v>
      </c>
      <c r="D1237" t="inlineStr">
        <is>
          <t>Amira Mostafa</t>
        </is>
      </c>
      <c r="E1237" t="n">
        <v>210</v>
      </c>
      <c r="F1237" t="n">
        <v>2615</v>
      </c>
      <c r="G1237" t="n">
        <v>2813</v>
      </c>
      <c r="H1237" s="23" t="n">
        <v>549150</v>
      </c>
      <c r="I1237" s="23" t="n">
        <v>590730</v>
      </c>
      <c r="J1237" t="inlineStr">
        <is>
          <t>Dec</t>
        </is>
      </c>
      <c r="K1237" t="n">
        <v>12</v>
      </c>
      <c r="L1237" t="inlineStr">
        <is>
          <t>Q4</t>
        </is>
      </c>
      <c r="M1237" t="n">
        <v>2024</v>
      </c>
      <c r="N1237" s="22" t="n">
        <v>45627</v>
      </c>
      <c r="O1237" s="24" t="n">
        <v>0.9296125133309634</v>
      </c>
      <c r="P1237" s="23" t="n">
        <v>-41580</v>
      </c>
    </row>
    <row r="1238">
      <c r="A1238" t="inlineStr">
        <is>
          <t>Augmentin 1000 MG</t>
        </is>
      </c>
      <c r="B1238" t="inlineStr">
        <is>
          <t>Cairo 1</t>
        </is>
      </c>
      <c r="C1238" s="22" t="n">
        <v>45292</v>
      </c>
      <c r="D1238" t="inlineStr">
        <is>
          <t>Fatma Ali</t>
        </is>
      </c>
      <c r="E1238" t="n">
        <v>210</v>
      </c>
      <c r="F1238" t="n">
        <v>2001</v>
      </c>
      <c r="G1238" t="n">
        <v>2042</v>
      </c>
      <c r="H1238" s="23" t="n">
        <v>420210</v>
      </c>
      <c r="I1238" s="23" t="n">
        <v>428820</v>
      </c>
      <c r="J1238" t="inlineStr">
        <is>
          <t>Jan</t>
        </is>
      </c>
      <c r="K1238" t="n">
        <v>1</v>
      </c>
      <c r="L1238" t="inlineStr">
        <is>
          <t>Q1</t>
        </is>
      </c>
      <c r="M1238" t="n">
        <v>2024</v>
      </c>
      <c r="N1238" s="22" t="n">
        <v>45292</v>
      </c>
      <c r="O1238" s="24" t="n">
        <v>0.9799216454456415</v>
      </c>
      <c r="P1238" s="23" t="n">
        <v>-8610</v>
      </c>
    </row>
    <row r="1239">
      <c r="A1239" t="inlineStr">
        <is>
          <t>Augmentin 1000 MG</t>
        </is>
      </c>
      <c r="B1239" t="inlineStr">
        <is>
          <t>Cairo 1</t>
        </is>
      </c>
      <c r="C1239" s="22" t="n">
        <v>45323</v>
      </c>
      <c r="D1239" t="inlineStr">
        <is>
          <t>Fatma Ali</t>
        </is>
      </c>
      <c r="E1239" t="n">
        <v>210</v>
      </c>
      <c r="F1239" t="n">
        <v>2742</v>
      </c>
      <c r="G1239" t="n">
        <v>2788</v>
      </c>
      <c r="H1239" s="23" t="n">
        <v>575820</v>
      </c>
      <c r="I1239" s="23" t="n">
        <v>585480</v>
      </c>
      <c r="J1239" t="inlineStr">
        <is>
          <t>Feb</t>
        </is>
      </c>
      <c r="K1239" t="n">
        <v>2</v>
      </c>
      <c r="L1239" t="inlineStr">
        <is>
          <t>Q1</t>
        </is>
      </c>
      <c r="M1239" t="n">
        <v>2024</v>
      </c>
      <c r="N1239" s="22" t="n">
        <v>45323</v>
      </c>
      <c r="O1239" s="24" t="n">
        <v>0.9835007173601148</v>
      </c>
      <c r="P1239" s="23" t="n">
        <v>-9660</v>
      </c>
    </row>
    <row r="1240">
      <c r="A1240" t="inlineStr">
        <is>
          <t>Augmentin 1000 MG</t>
        </is>
      </c>
      <c r="B1240" t="inlineStr">
        <is>
          <t>Cairo 1</t>
        </is>
      </c>
      <c r="C1240" s="22" t="n">
        <v>45352</v>
      </c>
      <c r="D1240" t="inlineStr">
        <is>
          <t>Fatma Ali</t>
        </is>
      </c>
      <c r="E1240" t="n">
        <v>210</v>
      </c>
      <c r="F1240" t="n">
        <v>2705</v>
      </c>
      <c r="G1240" t="n">
        <v>2588</v>
      </c>
      <c r="H1240" s="23" t="n">
        <v>568050</v>
      </c>
      <c r="I1240" s="23" t="n">
        <v>543480</v>
      </c>
      <c r="J1240" t="inlineStr">
        <is>
          <t>Mar</t>
        </is>
      </c>
      <c r="K1240" t="n">
        <v>3</v>
      </c>
      <c r="L1240" t="inlineStr">
        <is>
          <t>Q1</t>
        </is>
      </c>
      <c r="M1240" t="n">
        <v>2024</v>
      </c>
      <c r="N1240" s="22" t="n">
        <v>45352</v>
      </c>
      <c r="O1240" s="24" t="n">
        <v>1.045208655332303</v>
      </c>
      <c r="P1240" s="23" t="n">
        <v>24570</v>
      </c>
    </row>
    <row r="1241">
      <c r="A1241" t="inlineStr">
        <is>
          <t>Augmentin 1000 MG</t>
        </is>
      </c>
      <c r="B1241" t="inlineStr">
        <is>
          <t>Cairo 1</t>
        </is>
      </c>
      <c r="C1241" s="22" t="n">
        <v>45383</v>
      </c>
      <c r="D1241" t="inlineStr">
        <is>
          <t>Fatma Ali</t>
        </is>
      </c>
      <c r="E1241" t="n">
        <v>210</v>
      </c>
      <c r="F1241" t="n">
        <v>3791</v>
      </c>
      <c r="G1241" t="n">
        <v>3798</v>
      </c>
      <c r="H1241" s="23" t="n">
        <v>796110</v>
      </c>
      <c r="I1241" s="23" t="n">
        <v>797580</v>
      </c>
      <c r="J1241" t="inlineStr">
        <is>
          <t>Apr</t>
        </is>
      </c>
      <c r="K1241" t="n">
        <v>4</v>
      </c>
      <c r="L1241" t="inlineStr">
        <is>
          <t>Q2</t>
        </is>
      </c>
      <c r="M1241" t="n">
        <v>2024</v>
      </c>
      <c r="N1241" s="22" t="n">
        <v>45383</v>
      </c>
      <c r="O1241" s="24" t="n">
        <v>0.9981569246972091</v>
      </c>
      <c r="P1241" s="23" t="n">
        <v>-1470</v>
      </c>
    </row>
    <row r="1242">
      <c r="A1242" t="inlineStr">
        <is>
          <t>Augmentin 1000 MG</t>
        </is>
      </c>
      <c r="B1242" t="inlineStr">
        <is>
          <t>Cairo 1</t>
        </is>
      </c>
      <c r="C1242" s="22" t="n">
        <v>45413</v>
      </c>
      <c r="D1242" t="inlineStr">
        <is>
          <t>Fatma Ali</t>
        </is>
      </c>
      <c r="E1242" t="n">
        <v>210</v>
      </c>
      <c r="F1242" t="n">
        <v>2628</v>
      </c>
      <c r="G1242" t="n">
        <v>2681</v>
      </c>
      <c r="H1242" s="23" t="n">
        <v>551880</v>
      </c>
      <c r="I1242" s="23" t="n">
        <v>563010</v>
      </c>
      <c r="J1242" t="inlineStr">
        <is>
          <t>May</t>
        </is>
      </c>
      <c r="K1242" t="n">
        <v>5</v>
      </c>
      <c r="L1242" t="inlineStr">
        <is>
          <t>Q2</t>
        </is>
      </c>
      <c r="M1242" t="n">
        <v>2024</v>
      </c>
      <c r="N1242" s="22" t="n">
        <v>45413</v>
      </c>
      <c r="O1242" s="24" t="n">
        <v>0.9802312569936591</v>
      </c>
      <c r="P1242" s="23" t="n">
        <v>-11130</v>
      </c>
    </row>
    <row r="1243">
      <c r="A1243" t="inlineStr">
        <is>
          <t>Augmentin 1000 MG</t>
        </is>
      </c>
      <c r="B1243" t="inlineStr">
        <is>
          <t>Cairo 1</t>
        </is>
      </c>
      <c r="C1243" s="22" t="n">
        <v>45444</v>
      </c>
      <c r="D1243" t="inlineStr">
        <is>
          <t>Fatma Ali</t>
        </is>
      </c>
      <c r="E1243" t="n">
        <v>210</v>
      </c>
      <c r="F1243" t="n">
        <v>2873</v>
      </c>
      <c r="G1243" t="n">
        <v>2686</v>
      </c>
      <c r="H1243" s="23" t="n">
        <v>603330</v>
      </c>
      <c r="I1243" s="23" t="n">
        <v>564060</v>
      </c>
      <c r="J1243" t="inlineStr">
        <is>
          <t>Jun</t>
        </is>
      </c>
      <c r="K1243" t="n">
        <v>6</v>
      </c>
      <c r="L1243" t="inlineStr">
        <is>
          <t>Q2</t>
        </is>
      </c>
      <c r="M1243" t="n">
        <v>2024</v>
      </c>
      <c r="N1243" s="22" t="n">
        <v>45444</v>
      </c>
      <c r="O1243" s="24" t="n">
        <v>1.069620253164557</v>
      </c>
      <c r="P1243" s="23" t="n">
        <v>39270</v>
      </c>
    </row>
    <row r="1244">
      <c r="A1244" t="inlineStr">
        <is>
          <t>Augmentin 1000 MG</t>
        </is>
      </c>
      <c r="B1244" t="inlineStr">
        <is>
          <t>Cairo 1</t>
        </is>
      </c>
      <c r="C1244" s="22" t="n">
        <v>45474</v>
      </c>
      <c r="D1244" t="inlineStr">
        <is>
          <t>Fatma Ali</t>
        </is>
      </c>
      <c r="E1244" t="n">
        <v>210</v>
      </c>
      <c r="F1244" t="n">
        <v>2765</v>
      </c>
      <c r="G1244" t="n">
        <v>2769</v>
      </c>
      <c r="H1244" s="23" t="n">
        <v>580650</v>
      </c>
      <c r="I1244" s="23" t="n">
        <v>581490</v>
      </c>
      <c r="J1244" t="inlineStr">
        <is>
          <t>Jul</t>
        </is>
      </c>
      <c r="K1244" t="n">
        <v>7</v>
      </c>
      <c r="L1244" t="inlineStr">
        <is>
          <t>Q3</t>
        </is>
      </c>
      <c r="M1244" t="n">
        <v>2024</v>
      </c>
      <c r="N1244" s="22" t="n">
        <v>45474</v>
      </c>
      <c r="O1244" s="24" t="n">
        <v>0.9985554351751534</v>
      </c>
      <c r="P1244" s="23" t="n">
        <v>-840</v>
      </c>
    </row>
    <row r="1245">
      <c r="A1245" t="inlineStr">
        <is>
          <t>Augmentin 1000 MG</t>
        </is>
      </c>
      <c r="B1245" t="inlineStr">
        <is>
          <t>Cairo 1</t>
        </is>
      </c>
      <c r="C1245" s="22" t="n">
        <v>45505</v>
      </c>
      <c r="D1245" t="inlineStr">
        <is>
          <t>Fatma Ali</t>
        </is>
      </c>
      <c r="E1245" t="n">
        <v>210</v>
      </c>
      <c r="F1245" t="n">
        <v>2728</v>
      </c>
      <c r="G1245" t="n">
        <v>2620</v>
      </c>
      <c r="H1245" s="23" t="n">
        <v>572880</v>
      </c>
      <c r="I1245" s="23" t="n">
        <v>550200</v>
      </c>
      <c r="J1245" t="inlineStr">
        <is>
          <t>Aug</t>
        </is>
      </c>
      <c r="K1245" t="n">
        <v>8</v>
      </c>
      <c r="L1245" t="inlineStr">
        <is>
          <t>Q3</t>
        </is>
      </c>
      <c r="M1245" t="n">
        <v>2024</v>
      </c>
      <c r="N1245" s="22" t="n">
        <v>45505</v>
      </c>
      <c r="O1245" s="24" t="n">
        <v>1.041221374045802</v>
      </c>
      <c r="P1245" s="23" t="n">
        <v>22680</v>
      </c>
    </row>
    <row r="1246">
      <c r="A1246" t="inlineStr">
        <is>
          <t>Augmentin 1000 MG</t>
        </is>
      </c>
      <c r="B1246" t="inlineStr">
        <is>
          <t>Cairo 1</t>
        </is>
      </c>
      <c r="C1246" s="22" t="n">
        <v>45536</v>
      </c>
      <c r="D1246" t="inlineStr">
        <is>
          <t>Fatma Ali</t>
        </is>
      </c>
      <c r="E1246" t="n">
        <v>210</v>
      </c>
      <c r="F1246" t="n">
        <v>2208</v>
      </c>
      <c r="G1246" t="n">
        <v>2148</v>
      </c>
      <c r="H1246" s="23" t="n">
        <v>463680</v>
      </c>
      <c r="I1246" s="23" t="n">
        <v>451080</v>
      </c>
      <c r="J1246" t="inlineStr">
        <is>
          <t>Sep</t>
        </is>
      </c>
      <c r="K1246" t="n">
        <v>9</v>
      </c>
      <c r="L1246" t="inlineStr">
        <is>
          <t>Q3</t>
        </is>
      </c>
      <c r="M1246" t="n">
        <v>2024</v>
      </c>
      <c r="N1246" s="22" t="n">
        <v>45536</v>
      </c>
      <c r="O1246" s="24" t="n">
        <v>1.027932960893855</v>
      </c>
      <c r="P1246" s="23" t="n">
        <v>12600</v>
      </c>
    </row>
    <row r="1247">
      <c r="A1247" t="inlineStr">
        <is>
          <t>Augmentin 1000 MG</t>
        </is>
      </c>
      <c r="B1247" t="inlineStr">
        <is>
          <t>Cairo 1</t>
        </is>
      </c>
      <c r="C1247" s="22" t="n">
        <v>45566</v>
      </c>
      <c r="D1247" t="inlineStr">
        <is>
          <t>Fatma Ali</t>
        </is>
      </c>
      <c r="E1247" t="n">
        <v>210</v>
      </c>
      <c r="F1247" t="n">
        <v>2467</v>
      </c>
      <c r="G1247" t="n">
        <v>2661</v>
      </c>
      <c r="H1247" s="23" t="n">
        <v>518070</v>
      </c>
      <c r="I1247" s="23" t="n">
        <v>558810</v>
      </c>
      <c r="J1247" t="inlineStr">
        <is>
          <t>Oct</t>
        </is>
      </c>
      <c r="K1247" t="n">
        <v>10</v>
      </c>
      <c r="L1247" t="inlineStr">
        <is>
          <t>Q4</t>
        </is>
      </c>
      <c r="M1247" t="n">
        <v>2024</v>
      </c>
      <c r="N1247" s="22" t="n">
        <v>45566</v>
      </c>
      <c r="O1247" s="24" t="n">
        <v>0.9270950770387073</v>
      </c>
      <c r="P1247" s="23" t="n">
        <v>-40740</v>
      </c>
    </row>
    <row r="1248">
      <c r="A1248" t="inlineStr">
        <is>
          <t>Augmentin 1000 MG</t>
        </is>
      </c>
      <c r="B1248" t="inlineStr">
        <is>
          <t>Cairo 1</t>
        </is>
      </c>
      <c r="C1248" s="22" t="n">
        <v>45597</v>
      </c>
      <c r="D1248" t="inlineStr">
        <is>
          <t>Fatma Ali</t>
        </is>
      </c>
      <c r="E1248" t="n">
        <v>210</v>
      </c>
      <c r="F1248" t="n">
        <v>2543</v>
      </c>
      <c r="G1248" t="n">
        <v>3679</v>
      </c>
      <c r="H1248" s="23" t="n">
        <v>534030</v>
      </c>
      <c r="I1248" s="23" t="n">
        <v>772590</v>
      </c>
      <c r="J1248" t="inlineStr">
        <is>
          <t>Nov</t>
        </is>
      </c>
      <c r="K1248" t="n">
        <v>11</v>
      </c>
      <c r="L1248" t="inlineStr">
        <is>
          <t>Q4</t>
        </is>
      </c>
      <c r="M1248" t="n">
        <v>2024</v>
      </c>
      <c r="N1248" s="22" t="n">
        <v>45597</v>
      </c>
      <c r="O1248" s="24" t="n">
        <v>0.6912204403370481</v>
      </c>
      <c r="P1248" s="23" t="n">
        <v>-238560</v>
      </c>
    </row>
    <row r="1249">
      <c r="A1249" t="inlineStr">
        <is>
          <t>Augmentin 1000 MG</t>
        </is>
      </c>
      <c r="B1249" t="inlineStr">
        <is>
          <t>Cairo 1</t>
        </is>
      </c>
      <c r="C1249" s="22" t="n">
        <v>45627</v>
      </c>
      <c r="D1249" t="inlineStr">
        <is>
          <t>Fatma Ali</t>
        </is>
      </c>
      <c r="E1249" t="n">
        <v>210</v>
      </c>
      <c r="F1249" t="n">
        <v>2708</v>
      </c>
      <c r="G1249" t="n">
        <v>2783</v>
      </c>
      <c r="H1249" s="23" t="n">
        <v>568680</v>
      </c>
      <c r="I1249" s="23" t="n">
        <v>584430</v>
      </c>
      <c r="J1249" t="inlineStr">
        <is>
          <t>Dec</t>
        </is>
      </c>
      <c r="K1249" t="n">
        <v>12</v>
      </c>
      <c r="L1249" t="inlineStr">
        <is>
          <t>Q4</t>
        </is>
      </c>
      <c r="M1249" t="n">
        <v>2024</v>
      </c>
      <c r="N1249" s="22" t="n">
        <v>45627</v>
      </c>
      <c r="O1249" s="24" t="n">
        <v>0.9730506647502695</v>
      </c>
      <c r="P1249" s="23" t="n">
        <v>-15750</v>
      </c>
    </row>
    <row r="1250">
      <c r="A1250" t="inlineStr">
        <is>
          <t>Augmentin 1000 MG</t>
        </is>
      </c>
      <c r="B1250" t="inlineStr">
        <is>
          <t>Cairo 2</t>
        </is>
      </c>
      <c r="C1250" s="22" t="n">
        <v>45292</v>
      </c>
      <c r="D1250" t="inlineStr">
        <is>
          <t>Hassan El-Shamy</t>
        </is>
      </c>
      <c r="E1250" t="n">
        <v>210</v>
      </c>
      <c r="F1250" t="n">
        <v>2425</v>
      </c>
      <c r="G1250" t="n">
        <v>2526</v>
      </c>
      <c r="H1250" s="23" t="n">
        <v>509250</v>
      </c>
      <c r="I1250" s="23" t="n">
        <v>530460</v>
      </c>
      <c r="J1250" t="inlineStr">
        <is>
          <t>Jan</t>
        </is>
      </c>
      <c r="K1250" t="n">
        <v>1</v>
      </c>
      <c r="L1250" t="inlineStr">
        <is>
          <t>Q1</t>
        </is>
      </c>
      <c r="M1250" t="n">
        <v>2024</v>
      </c>
      <c r="N1250" s="22" t="n">
        <v>45292</v>
      </c>
      <c r="O1250" s="24" t="n">
        <v>0.9600158353127475</v>
      </c>
      <c r="P1250" s="23" t="n">
        <v>-21210</v>
      </c>
    </row>
    <row r="1251">
      <c r="A1251" t="inlineStr">
        <is>
          <t>Augmentin 1000 MG</t>
        </is>
      </c>
      <c r="B1251" t="inlineStr">
        <is>
          <t>Cairo 2</t>
        </is>
      </c>
      <c r="C1251" s="22" t="n">
        <v>45323</v>
      </c>
      <c r="D1251" t="inlineStr">
        <is>
          <t>Hassan El-Shamy</t>
        </is>
      </c>
      <c r="E1251" t="n">
        <v>210</v>
      </c>
      <c r="F1251" t="n">
        <v>2682</v>
      </c>
      <c r="G1251" t="n">
        <v>2853</v>
      </c>
      <c r="H1251" s="23" t="n">
        <v>563220</v>
      </c>
      <c r="I1251" s="23" t="n">
        <v>599130</v>
      </c>
      <c r="J1251" t="inlineStr">
        <is>
          <t>Feb</t>
        </is>
      </c>
      <c r="K1251" t="n">
        <v>2</v>
      </c>
      <c r="L1251" t="inlineStr">
        <is>
          <t>Q1</t>
        </is>
      </c>
      <c r="M1251" t="n">
        <v>2024</v>
      </c>
      <c r="N1251" s="22" t="n">
        <v>45323</v>
      </c>
      <c r="O1251" s="24" t="n">
        <v>0.9400630914826499</v>
      </c>
      <c r="P1251" s="23" t="n">
        <v>-35910</v>
      </c>
    </row>
    <row r="1252">
      <c r="A1252" t="inlineStr">
        <is>
          <t>Augmentin 1000 MG</t>
        </is>
      </c>
      <c r="B1252" t="inlineStr">
        <is>
          <t>Cairo 2</t>
        </is>
      </c>
      <c r="C1252" s="22" t="n">
        <v>45352</v>
      </c>
      <c r="D1252" t="inlineStr">
        <is>
          <t>Hassan El-Shamy</t>
        </is>
      </c>
      <c r="E1252" t="n">
        <v>210</v>
      </c>
      <c r="F1252" t="n">
        <v>3300</v>
      </c>
      <c r="G1252" t="n">
        <v>3472</v>
      </c>
      <c r="H1252" s="23" t="n">
        <v>693000</v>
      </c>
      <c r="I1252" s="23" t="n">
        <v>729120</v>
      </c>
      <c r="J1252" t="inlineStr">
        <is>
          <t>Mar</t>
        </is>
      </c>
      <c r="K1252" t="n">
        <v>3</v>
      </c>
      <c r="L1252" t="inlineStr">
        <is>
          <t>Q1</t>
        </is>
      </c>
      <c r="M1252" t="n">
        <v>2024</v>
      </c>
      <c r="N1252" s="22" t="n">
        <v>45352</v>
      </c>
      <c r="O1252" s="24" t="n">
        <v>0.9504608294930875</v>
      </c>
      <c r="P1252" s="23" t="n">
        <v>-36120</v>
      </c>
    </row>
    <row r="1253">
      <c r="A1253" t="inlineStr">
        <is>
          <t>Augmentin 1000 MG</t>
        </is>
      </c>
      <c r="B1253" t="inlineStr">
        <is>
          <t>Cairo 2</t>
        </is>
      </c>
      <c r="C1253" s="22" t="n">
        <v>45383</v>
      </c>
      <c r="D1253" t="inlineStr">
        <is>
          <t>Hassan El-Shamy</t>
        </is>
      </c>
      <c r="E1253" t="n">
        <v>210</v>
      </c>
      <c r="F1253" t="n">
        <v>3001</v>
      </c>
      <c r="G1253" t="n">
        <v>2864</v>
      </c>
      <c r="H1253" s="23" t="n">
        <v>630210</v>
      </c>
      <c r="I1253" s="23" t="n">
        <v>601440</v>
      </c>
      <c r="J1253" t="inlineStr">
        <is>
          <t>Apr</t>
        </is>
      </c>
      <c r="K1253" t="n">
        <v>4</v>
      </c>
      <c r="L1253" t="inlineStr">
        <is>
          <t>Q2</t>
        </is>
      </c>
      <c r="M1253" t="n">
        <v>2024</v>
      </c>
      <c r="N1253" s="22" t="n">
        <v>45383</v>
      </c>
      <c r="O1253" s="24" t="n">
        <v>1.047835195530726</v>
      </c>
      <c r="P1253" s="23" t="n">
        <v>28770</v>
      </c>
    </row>
    <row r="1254">
      <c r="A1254" t="inlineStr">
        <is>
          <t>Augmentin 1000 MG</t>
        </is>
      </c>
      <c r="B1254" t="inlineStr">
        <is>
          <t>Cairo 2</t>
        </is>
      </c>
      <c r="C1254" s="22" t="n">
        <v>45413</v>
      </c>
      <c r="D1254" t="inlineStr">
        <is>
          <t>Hassan El-Shamy</t>
        </is>
      </c>
      <c r="E1254" t="n">
        <v>210</v>
      </c>
      <c r="F1254" t="n">
        <v>2770</v>
      </c>
      <c r="G1254" t="n">
        <v>3064</v>
      </c>
      <c r="H1254" s="23" t="n">
        <v>581700</v>
      </c>
      <c r="I1254" s="23" t="n">
        <v>643440</v>
      </c>
      <c r="J1254" t="inlineStr">
        <is>
          <t>May</t>
        </is>
      </c>
      <c r="K1254" t="n">
        <v>5</v>
      </c>
      <c r="L1254" t="inlineStr">
        <is>
          <t>Q2</t>
        </is>
      </c>
      <c r="M1254" t="n">
        <v>2024</v>
      </c>
      <c r="N1254" s="22" t="n">
        <v>45413</v>
      </c>
      <c r="O1254" s="24" t="n">
        <v>0.9040469973890339</v>
      </c>
      <c r="P1254" s="23" t="n">
        <v>-61740</v>
      </c>
    </row>
    <row r="1255">
      <c r="A1255" t="inlineStr">
        <is>
          <t>Augmentin 1000 MG</t>
        </is>
      </c>
      <c r="B1255" t="inlineStr">
        <is>
          <t>Cairo 2</t>
        </is>
      </c>
      <c r="C1255" s="22" t="n">
        <v>45444</v>
      </c>
      <c r="D1255" t="inlineStr">
        <is>
          <t>Hassan El-Shamy</t>
        </is>
      </c>
      <c r="E1255" t="n">
        <v>210</v>
      </c>
      <c r="F1255" t="n">
        <v>2840</v>
      </c>
      <c r="G1255" t="n">
        <v>3324</v>
      </c>
      <c r="H1255" s="23" t="n">
        <v>596400</v>
      </c>
      <c r="I1255" s="23" t="n">
        <v>698040</v>
      </c>
      <c r="J1255" t="inlineStr">
        <is>
          <t>Jun</t>
        </is>
      </c>
      <c r="K1255" t="n">
        <v>6</v>
      </c>
      <c r="L1255" t="inlineStr">
        <is>
          <t>Q2</t>
        </is>
      </c>
      <c r="M1255" t="n">
        <v>2024</v>
      </c>
      <c r="N1255" s="22" t="n">
        <v>45444</v>
      </c>
      <c r="O1255" s="24" t="n">
        <v>0.8543922984356197</v>
      </c>
      <c r="P1255" s="23" t="n">
        <v>-101640</v>
      </c>
    </row>
    <row r="1256">
      <c r="A1256" t="inlineStr">
        <is>
          <t>Augmentin 1000 MG</t>
        </is>
      </c>
      <c r="B1256" t="inlineStr">
        <is>
          <t>Cairo 2</t>
        </is>
      </c>
      <c r="C1256" s="22" t="n">
        <v>45474</v>
      </c>
      <c r="D1256" t="inlineStr">
        <is>
          <t>Hassan El-Shamy</t>
        </is>
      </c>
      <c r="E1256" t="n">
        <v>210</v>
      </c>
      <c r="F1256" t="n">
        <v>2178</v>
      </c>
      <c r="G1256" t="n">
        <v>2419</v>
      </c>
      <c r="H1256" s="23" t="n">
        <v>457380</v>
      </c>
      <c r="I1256" s="23" t="n">
        <v>507990</v>
      </c>
      <c r="J1256" t="inlineStr">
        <is>
          <t>Jul</t>
        </is>
      </c>
      <c r="K1256" t="n">
        <v>7</v>
      </c>
      <c r="L1256" t="inlineStr">
        <is>
          <t>Q3</t>
        </is>
      </c>
      <c r="M1256" t="n">
        <v>2024</v>
      </c>
      <c r="N1256" s="22" t="n">
        <v>45474</v>
      </c>
      <c r="O1256" s="24" t="n">
        <v>0.9003720545680033</v>
      </c>
      <c r="P1256" s="23" t="n">
        <v>-50610</v>
      </c>
    </row>
    <row r="1257">
      <c r="A1257" t="inlineStr">
        <is>
          <t>Augmentin 1000 MG</t>
        </is>
      </c>
      <c r="B1257" t="inlineStr">
        <is>
          <t>Cairo 2</t>
        </is>
      </c>
      <c r="C1257" s="22" t="n">
        <v>45505</v>
      </c>
      <c r="D1257" t="inlineStr">
        <is>
          <t>Hassan El-Shamy</t>
        </is>
      </c>
      <c r="E1257" t="n">
        <v>210</v>
      </c>
      <c r="F1257" t="n">
        <v>3592</v>
      </c>
      <c r="G1257" t="n">
        <v>3289</v>
      </c>
      <c r="H1257" s="23" t="n">
        <v>754320</v>
      </c>
      <c r="I1257" s="23" t="n">
        <v>690690</v>
      </c>
      <c r="J1257" t="inlineStr">
        <is>
          <t>Aug</t>
        </is>
      </c>
      <c r="K1257" t="n">
        <v>8</v>
      </c>
      <c r="L1257" t="inlineStr">
        <is>
          <t>Q3</t>
        </is>
      </c>
      <c r="M1257" t="n">
        <v>2024</v>
      </c>
      <c r="N1257" s="22" t="n">
        <v>45505</v>
      </c>
      <c r="O1257" s="24" t="n">
        <v>1.09212526603831</v>
      </c>
      <c r="P1257" s="23" t="n">
        <v>63630</v>
      </c>
    </row>
    <row r="1258">
      <c r="A1258" t="inlineStr">
        <is>
          <t>Augmentin 1000 MG</t>
        </is>
      </c>
      <c r="B1258" t="inlineStr">
        <is>
          <t>Cairo 2</t>
        </is>
      </c>
      <c r="C1258" s="22" t="n">
        <v>45536</v>
      </c>
      <c r="D1258" t="inlineStr">
        <is>
          <t>Hassan El-Shamy</t>
        </is>
      </c>
      <c r="E1258" t="n">
        <v>210</v>
      </c>
      <c r="F1258" t="n">
        <v>2587</v>
      </c>
      <c r="G1258" t="n">
        <v>2418</v>
      </c>
      <c r="H1258" s="23" t="n">
        <v>543270</v>
      </c>
      <c r="I1258" s="23" t="n">
        <v>507780</v>
      </c>
      <c r="J1258" t="inlineStr">
        <is>
          <t>Sep</t>
        </is>
      </c>
      <c r="K1258" t="n">
        <v>9</v>
      </c>
      <c r="L1258" t="inlineStr">
        <is>
          <t>Q3</t>
        </is>
      </c>
      <c r="M1258" t="n">
        <v>2024</v>
      </c>
      <c r="N1258" s="22" t="n">
        <v>45536</v>
      </c>
      <c r="O1258" s="24" t="n">
        <v>1.06989247311828</v>
      </c>
      <c r="P1258" s="23" t="n">
        <v>35490</v>
      </c>
    </row>
    <row r="1259">
      <c r="A1259" t="inlineStr">
        <is>
          <t>Augmentin 1000 MG</t>
        </is>
      </c>
      <c r="B1259" t="inlineStr">
        <is>
          <t>Cairo 2</t>
        </is>
      </c>
      <c r="C1259" s="22" t="n">
        <v>45566</v>
      </c>
      <c r="D1259" t="inlineStr">
        <is>
          <t>Hassan El-Shamy</t>
        </is>
      </c>
      <c r="E1259" t="n">
        <v>210</v>
      </c>
      <c r="F1259" t="n">
        <v>3658</v>
      </c>
      <c r="G1259" t="n">
        <v>3452</v>
      </c>
      <c r="H1259" s="23" t="n">
        <v>768180</v>
      </c>
      <c r="I1259" s="23" t="n">
        <v>724920</v>
      </c>
      <c r="J1259" t="inlineStr">
        <is>
          <t>Oct</t>
        </is>
      </c>
      <c r="K1259" t="n">
        <v>10</v>
      </c>
      <c r="L1259" t="inlineStr">
        <is>
          <t>Q4</t>
        </is>
      </c>
      <c r="M1259" t="n">
        <v>2024</v>
      </c>
      <c r="N1259" s="22" t="n">
        <v>45566</v>
      </c>
      <c r="O1259" s="24" t="n">
        <v>1.059675550405562</v>
      </c>
      <c r="P1259" s="23" t="n">
        <v>43260</v>
      </c>
    </row>
    <row r="1260">
      <c r="A1260" t="inlineStr">
        <is>
          <t>Augmentin 1000 MG</t>
        </is>
      </c>
      <c r="B1260" t="inlineStr">
        <is>
          <t>Cairo 2</t>
        </is>
      </c>
      <c r="C1260" s="22" t="n">
        <v>45597</v>
      </c>
      <c r="D1260" t="inlineStr">
        <is>
          <t>Hassan El-Shamy</t>
        </is>
      </c>
      <c r="E1260" t="n">
        <v>210</v>
      </c>
      <c r="F1260" t="n">
        <v>3265</v>
      </c>
      <c r="G1260" t="n">
        <v>3403</v>
      </c>
      <c r="H1260" s="23" t="n">
        <v>685650</v>
      </c>
      <c r="I1260" s="23" t="n">
        <v>714630</v>
      </c>
      <c r="J1260" t="inlineStr">
        <is>
          <t>Nov</t>
        </is>
      </c>
      <c r="K1260" t="n">
        <v>11</v>
      </c>
      <c r="L1260" t="inlineStr">
        <is>
          <t>Q4</t>
        </is>
      </c>
      <c r="M1260" t="n">
        <v>2024</v>
      </c>
      <c r="N1260" s="22" t="n">
        <v>45597</v>
      </c>
      <c r="O1260" s="24" t="n">
        <v>0.9594475462826917</v>
      </c>
      <c r="P1260" s="23" t="n">
        <v>-28980</v>
      </c>
    </row>
    <row r="1261">
      <c r="A1261" t="inlineStr">
        <is>
          <t>Augmentin 1000 MG</t>
        </is>
      </c>
      <c r="B1261" t="inlineStr">
        <is>
          <t>Cairo 2</t>
        </is>
      </c>
      <c r="C1261" s="22" t="n">
        <v>45627</v>
      </c>
      <c r="D1261" t="inlineStr">
        <is>
          <t>Hassan El-Shamy</t>
        </is>
      </c>
      <c r="E1261" t="n">
        <v>210</v>
      </c>
      <c r="F1261" t="n">
        <v>3652</v>
      </c>
      <c r="G1261" t="n">
        <v>3498</v>
      </c>
      <c r="H1261" s="23" t="n">
        <v>766920</v>
      </c>
      <c r="I1261" s="23" t="n">
        <v>734580</v>
      </c>
      <c r="J1261" t="inlineStr">
        <is>
          <t>Dec</t>
        </is>
      </c>
      <c r="K1261" t="n">
        <v>12</v>
      </c>
      <c r="L1261" t="inlineStr">
        <is>
          <t>Q4</t>
        </is>
      </c>
      <c r="M1261" t="n">
        <v>2024</v>
      </c>
      <c r="N1261" s="22" t="n">
        <v>45627</v>
      </c>
      <c r="O1261" s="24" t="n">
        <v>1.044025157232704</v>
      </c>
      <c r="P1261" s="23" t="n">
        <v>32340</v>
      </c>
    </row>
    <row r="1262">
      <c r="A1262" t="inlineStr">
        <is>
          <t>Augmentin 1000 MG</t>
        </is>
      </c>
      <c r="B1262" t="inlineStr">
        <is>
          <t>Suez</t>
        </is>
      </c>
      <c r="C1262" s="22" t="n">
        <v>45292</v>
      </c>
      <c r="D1262" t="inlineStr">
        <is>
          <t>Mohamed Mahmoud</t>
        </is>
      </c>
      <c r="E1262" t="n">
        <v>210</v>
      </c>
      <c r="F1262" t="n">
        <v>3385</v>
      </c>
      <c r="G1262" t="n">
        <v>3892</v>
      </c>
      <c r="H1262" s="23" t="n">
        <v>710850</v>
      </c>
      <c r="I1262" s="23" t="n">
        <v>817320</v>
      </c>
      <c r="J1262" t="inlineStr">
        <is>
          <t>Jan</t>
        </is>
      </c>
      <c r="K1262" t="n">
        <v>1</v>
      </c>
      <c r="L1262" t="inlineStr">
        <is>
          <t>Q1</t>
        </is>
      </c>
      <c r="M1262" t="n">
        <v>2024</v>
      </c>
      <c r="N1262" s="22" t="n">
        <v>45292</v>
      </c>
      <c r="O1262" s="24" t="n">
        <v>0.8697327852004111</v>
      </c>
      <c r="P1262" s="23" t="n">
        <v>-106470</v>
      </c>
    </row>
    <row r="1263">
      <c r="A1263" t="inlineStr">
        <is>
          <t>Augmentin 1000 MG</t>
        </is>
      </c>
      <c r="B1263" t="inlineStr">
        <is>
          <t>Suez</t>
        </is>
      </c>
      <c r="C1263" s="22" t="n">
        <v>45323</v>
      </c>
      <c r="D1263" t="inlineStr">
        <is>
          <t>Mohamed Mahmoud</t>
        </is>
      </c>
      <c r="E1263" t="n">
        <v>210</v>
      </c>
      <c r="F1263" t="n">
        <v>2540</v>
      </c>
      <c r="G1263" t="n">
        <v>2300</v>
      </c>
      <c r="H1263" s="23" t="n">
        <v>533400</v>
      </c>
      <c r="I1263" s="23" t="n">
        <v>483000</v>
      </c>
      <c r="J1263" t="inlineStr">
        <is>
          <t>Feb</t>
        </is>
      </c>
      <c r="K1263" t="n">
        <v>2</v>
      </c>
      <c r="L1263" t="inlineStr">
        <is>
          <t>Q1</t>
        </is>
      </c>
      <c r="M1263" t="n">
        <v>2024</v>
      </c>
      <c r="N1263" s="22" t="n">
        <v>45323</v>
      </c>
      <c r="O1263" s="24" t="n">
        <v>1.104347826086957</v>
      </c>
      <c r="P1263" s="23" t="n">
        <v>50400</v>
      </c>
    </row>
    <row r="1264">
      <c r="A1264" t="inlineStr">
        <is>
          <t>Augmentin 1000 MG</t>
        </is>
      </c>
      <c r="B1264" t="inlineStr">
        <is>
          <t>Suez</t>
        </is>
      </c>
      <c r="C1264" s="22" t="n">
        <v>45352</v>
      </c>
      <c r="D1264" t="inlineStr">
        <is>
          <t>Mohamed Mahmoud</t>
        </is>
      </c>
      <c r="E1264" t="n">
        <v>210</v>
      </c>
      <c r="F1264" t="n">
        <v>3215</v>
      </c>
      <c r="G1264" t="n">
        <v>3697</v>
      </c>
      <c r="H1264" s="23" t="n">
        <v>675150</v>
      </c>
      <c r="I1264" s="23" t="n">
        <v>776370</v>
      </c>
      <c r="J1264" t="inlineStr">
        <is>
          <t>Mar</t>
        </is>
      </c>
      <c r="K1264" t="n">
        <v>3</v>
      </c>
      <c r="L1264" t="inlineStr">
        <is>
          <t>Q1</t>
        </is>
      </c>
      <c r="M1264" t="n">
        <v>2024</v>
      </c>
      <c r="N1264" s="22" t="n">
        <v>45352</v>
      </c>
      <c r="O1264" s="24" t="n">
        <v>0.8696240194752503</v>
      </c>
      <c r="P1264" s="23" t="n">
        <v>-101220</v>
      </c>
    </row>
    <row r="1265">
      <c r="A1265" t="inlineStr">
        <is>
          <t>Augmentin 1000 MG</t>
        </is>
      </c>
      <c r="B1265" t="inlineStr">
        <is>
          <t>Suez</t>
        </is>
      </c>
      <c r="C1265" s="22" t="n">
        <v>45383</v>
      </c>
      <c r="D1265" t="inlineStr">
        <is>
          <t>Mohamed Mahmoud</t>
        </is>
      </c>
      <c r="E1265" t="n">
        <v>210</v>
      </c>
      <c r="F1265" t="n">
        <v>3717</v>
      </c>
      <c r="G1265" t="n">
        <v>3125</v>
      </c>
      <c r="H1265" s="23" t="n">
        <v>780570</v>
      </c>
      <c r="I1265" s="23" t="n">
        <v>656250</v>
      </c>
      <c r="J1265" t="inlineStr">
        <is>
          <t>Apr</t>
        </is>
      </c>
      <c r="K1265" t="n">
        <v>4</v>
      </c>
      <c r="L1265" t="inlineStr">
        <is>
          <t>Q2</t>
        </is>
      </c>
      <c r="M1265" t="n">
        <v>2024</v>
      </c>
      <c r="N1265" s="22" t="n">
        <v>45383</v>
      </c>
      <c r="O1265" s="24" t="n">
        <v>1.18944</v>
      </c>
      <c r="P1265" s="23" t="n">
        <v>124320</v>
      </c>
    </row>
    <row r="1266">
      <c r="A1266" t="inlineStr">
        <is>
          <t>Augmentin 1000 MG</t>
        </is>
      </c>
      <c r="B1266" t="inlineStr">
        <is>
          <t>Suez</t>
        </is>
      </c>
      <c r="C1266" s="22" t="n">
        <v>45413</v>
      </c>
      <c r="D1266" t="inlineStr">
        <is>
          <t>Mohamed Mahmoud</t>
        </is>
      </c>
      <c r="E1266" t="n">
        <v>210</v>
      </c>
      <c r="F1266" t="n">
        <v>1660</v>
      </c>
      <c r="G1266" t="n">
        <v>1908</v>
      </c>
      <c r="H1266" s="23" t="n">
        <v>348600</v>
      </c>
      <c r="I1266" s="23" t="n">
        <v>400680</v>
      </c>
      <c r="J1266" t="inlineStr">
        <is>
          <t>May</t>
        </is>
      </c>
      <c r="K1266" t="n">
        <v>5</v>
      </c>
      <c r="L1266" t="inlineStr">
        <is>
          <t>Q2</t>
        </is>
      </c>
      <c r="M1266" t="n">
        <v>2024</v>
      </c>
      <c r="N1266" s="22" t="n">
        <v>45413</v>
      </c>
      <c r="O1266" s="24" t="n">
        <v>0.870020964360587</v>
      </c>
      <c r="P1266" s="23" t="n">
        <v>-52080</v>
      </c>
    </row>
    <row r="1267">
      <c r="A1267" t="inlineStr">
        <is>
          <t>Augmentin 1000 MG</t>
        </is>
      </c>
      <c r="B1267" t="inlineStr">
        <is>
          <t>Suez</t>
        </is>
      </c>
      <c r="C1267" s="22" t="n">
        <v>45444</v>
      </c>
      <c r="D1267" t="inlineStr">
        <is>
          <t>Mohamed Mahmoud</t>
        </is>
      </c>
      <c r="E1267" t="n">
        <v>210</v>
      </c>
      <c r="F1267" t="n">
        <v>1980</v>
      </c>
      <c r="G1267" t="n">
        <v>2007</v>
      </c>
      <c r="H1267" s="23" t="n">
        <v>415800</v>
      </c>
      <c r="I1267" s="23" t="n">
        <v>421470</v>
      </c>
      <c r="J1267" t="inlineStr">
        <is>
          <t>Jun</t>
        </is>
      </c>
      <c r="K1267" t="n">
        <v>6</v>
      </c>
      <c r="L1267" t="inlineStr">
        <is>
          <t>Q2</t>
        </is>
      </c>
      <c r="M1267" t="n">
        <v>2024</v>
      </c>
      <c r="N1267" s="22" t="n">
        <v>45444</v>
      </c>
      <c r="O1267" s="24" t="n">
        <v>0.9865470852017937</v>
      </c>
      <c r="P1267" s="23" t="n">
        <v>-5670</v>
      </c>
    </row>
    <row r="1268">
      <c r="A1268" t="inlineStr">
        <is>
          <t>Augmentin 1000 MG</t>
        </is>
      </c>
      <c r="B1268" t="inlineStr">
        <is>
          <t>Suez</t>
        </is>
      </c>
      <c r="C1268" s="22" t="n">
        <v>45474</v>
      </c>
      <c r="D1268" t="inlineStr">
        <is>
          <t>Mohamed Mahmoud</t>
        </is>
      </c>
      <c r="E1268" t="n">
        <v>210</v>
      </c>
      <c r="F1268" t="n">
        <v>1551</v>
      </c>
      <c r="G1268" t="n">
        <v>1783</v>
      </c>
      <c r="H1268" s="23" t="n">
        <v>325710</v>
      </c>
      <c r="I1268" s="23" t="n">
        <v>374430</v>
      </c>
      <c r="J1268" t="inlineStr">
        <is>
          <t>Jul</t>
        </is>
      </c>
      <c r="K1268" t="n">
        <v>7</v>
      </c>
      <c r="L1268" t="inlineStr">
        <is>
          <t>Q3</t>
        </is>
      </c>
      <c r="M1268" t="n">
        <v>2024</v>
      </c>
      <c r="N1268" s="22" t="n">
        <v>45474</v>
      </c>
      <c r="O1268" s="24" t="n">
        <v>0.8698822209758833</v>
      </c>
      <c r="P1268" s="23" t="n">
        <v>-48720</v>
      </c>
    </row>
    <row r="1269">
      <c r="A1269" t="inlineStr">
        <is>
          <t>Augmentin 1000 MG</t>
        </is>
      </c>
      <c r="B1269" t="inlineStr">
        <is>
          <t>Suez</t>
        </is>
      </c>
      <c r="C1269" s="22" t="n">
        <v>45505</v>
      </c>
      <c r="D1269" t="inlineStr">
        <is>
          <t>Mohamed Mahmoud</t>
        </is>
      </c>
      <c r="E1269" t="n">
        <v>210</v>
      </c>
      <c r="F1269" t="n">
        <v>2459</v>
      </c>
      <c r="G1269" t="n">
        <v>2709</v>
      </c>
      <c r="H1269" s="23" t="n">
        <v>516390</v>
      </c>
      <c r="I1269" s="23" t="n">
        <v>568890</v>
      </c>
      <c r="J1269" t="inlineStr">
        <is>
          <t>Aug</t>
        </is>
      </c>
      <c r="K1269" t="n">
        <v>8</v>
      </c>
      <c r="L1269" t="inlineStr">
        <is>
          <t>Q3</t>
        </is>
      </c>
      <c r="M1269" t="n">
        <v>2024</v>
      </c>
      <c r="N1269" s="22" t="n">
        <v>45505</v>
      </c>
      <c r="O1269" s="24" t="n">
        <v>0.9077150239940938</v>
      </c>
      <c r="P1269" s="23" t="n">
        <v>-52500</v>
      </c>
    </row>
    <row r="1270">
      <c r="A1270" t="inlineStr">
        <is>
          <t>Augmentin 1000 MG</t>
        </is>
      </c>
      <c r="B1270" t="inlineStr">
        <is>
          <t>Suez</t>
        </is>
      </c>
      <c r="C1270" s="22" t="n">
        <v>45536</v>
      </c>
      <c r="D1270" t="inlineStr">
        <is>
          <t>Mohamed Mahmoud</t>
        </is>
      </c>
      <c r="E1270" t="n">
        <v>210</v>
      </c>
      <c r="F1270" t="n">
        <v>1296</v>
      </c>
      <c r="G1270" t="n">
        <v>1490</v>
      </c>
      <c r="H1270" s="23" t="n">
        <v>272160</v>
      </c>
      <c r="I1270" s="23" t="n">
        <v>312900</v>
      </c>
      <c r="J1270" t="inlineStr">
        <is>
          <t>Sep</t>
        </is>
      </c>
      <c r="K1270" t="n">
        <v>9</v>
      </c>
      <c r="L1270" t="inlineStr">
        <is>
          <t>Q3</t>
        </is>
      </c>
      <c r="M1270" t="n">
        <v>2024</v>
      </c>
      <c r="N1270" s="22" t="n">
        <v>45536</v>
      </c>
      <c r="O1270" s="24" t="n">
        <v>0.8697986577181208</v>
      </c>
      <c r="P1270" s="23" t="n">
        <v>-40740</v>
      </c>
    </row>
    <row r="1271">
      <c r="A1271" t="inlineStr">
        <is>
          <t>Augmentin 1000 MG</t>
        </is>
      </c>
      <c r="B1271" t="inlineStr">
        <is>
          <t>Suez</t>
        </is>
      </c>
      <c r="C1271" s="22" t="n">
        <v>45566</v>
      </c>
      <c r="D1271" t="inlineStr">
        <is>
          <t>Mohamed Mahmoud</t>
        </is>
      </c>
      <c r="E1271" t="n">
        <v>210</v>
      </c>
      <c r="F1271" t="n">
        <v>3741</v>
      </c>
      <c r="G1271" t="n">
        <v>3125</v>
      </c>
      <c r="H1271" s="23" t="n">
        <v>785610</v>
      </c>
      <c r="I1271" s="23" t="n">
        <v>656250</v>
      </c>
      <c r="J1271" t="inlineStr">
        <is>
          <t>Oct</t>
        </is>
      </c>
      <c r="K1271" t="n">
        <v>10</v>
      </c>
      <c r="L1271" t="inlineStr">
        <is>
          <t>Q4</t>
        </is>
      </c>
      <c r="M1271" t="n">
        <v>2024</v>
      </c>
      <c r="N1271" s="22" t="n">
        <v>45566</v>
      </c>
      <c r="O1271" s="24" t="n">
        <v>1.19712</v>
      </c>
      <c r="P1271" s="23" t="n">
        <v>129360</v>
      </c>
    </row>
    <row r="1272">
      <c r="A1272" t="inlineStr">
        <is>
          <t>Augmentin 1000 MG</t>
        </is>
      </c>
      <c r="B1272" t="inlineStr">
        <is>
          <t>Suez</t>
        </is>
      </c>
      <c r="C1272" s="22" t="n">
        <v>45597</v>
      </c>
      <c r="D1272" t="inlineStr">
        <is>
          <t>Mohamed Mahmoud</t>
        </is>
      </c>
      <c r="E1272" t="n">
        <v>210</v>
      </c>
      <c r="F1272" t="n">
        <v>2174</v>
      </c>
      <c r="G1272" t="n">
        <v>2500</v>
      </c>
      <c r="H1272" s="23" t="n">
        <v>456540</v>
      </c>
      <c r="I1272" s="23" t="n">
        <v>525000</v>
      </c>
      <c r="J1272" t="inlineStr">
        <is>
          <t>Nov</t>
        </is>
      </c>
      <c r="K1272" t="n">
        <v>11</v>
      </c>
      <c r="L1272" t="inlineStr">
        <is>
          <t>Q4</t>
        </is>
      </c>
      <c r="M1272" t="n">
        <v>2024</v>
      </c>
      <c r="N1272" s="22" t="n">
        <v>45597</v>
      </c>
      <c r="O1272" s="24" t="n">
        <v>0.8696</v>
      </c>
      <c r="P1272" s="23" t="n">
        <v>-68460</v>
      </c>
    </row>
    <row r="1273">
      <c r="A1273" t="inlineStr">
        <is>
          <t>Augmentin 1000 MG</t>
        </is>
      </c>
      <c r="B1273" t="inlineStr">
        <is>
          <t>Suez</t>
        </is>
      </c>
      <c r="C1273" s="22" t="n">
        <v>45627</v>
      </c>
      <c r="D1273" t="inlineStr">
        <is>
          <t>Mohamed Mahmoud</t>
        </is>
      </c>
      <c r="E1273" t="n">
        <v>210</v>
      </c>
      <c r="F1273" t="n">
        <v>3236</v>
      </c>
      <c r="G1273" t="n">
        <v>3481</v>
      </c>
      <c r="H1273" s="23" t="n">
        <v>679560</v>
      </c>
      <c r="I1273" s="23" t="n">
        <v>731010</v>
      </c>
      <c r="J1273" t="inlineStr">
        <is>
          <t>Dec</t>
        </is>
      </c>
      <c r="K1273" t="n">
        <v>12</v>
      </c>
      <c r="L1273" t="inlineStr">
        <is>
          <t>Q4</t>
        </is>
      </c>
      <c r="M1273" t="n">
        <v>2024</v>
      </c>
      <c r="N1273" s="22" t="n">
        <v>45627</v>
      </c>
      <c r="O1273" s="24" t="n">
        <v>0.9296179258833669</v>
      </c>
      <c r="P1273" s="23" t="n">
        <v>-51450</v>
      </c>
    </row>
    <row r="1274">
      <c r="A1274" t="inlineStr">
        <is>
          <t>Augmentin 1000 MG</t>
        </is>
      </c>
      <c r="B1274" t="inlineStr">
        <is>
          <t>Dakahlia 1</t>
        </is>
      </c>
      <c r="C1274" s="22" t="n">
        <v>45292</v>
      </c>
      <c r="D1274" t="inlineStr">
        <is>
          <t>Nour El-Din</t>
        </is>
      </c>
      <c r="E1274" t="n">
        <v>210</v>
      </c>
      <c r="F1274" t="n">
        <v>1857</v>
      </c>
      <c r="G1274" t="n">
        <v>2000</v>
      </c>
      <c r="H1274" s="23" t="n">
        <v>389970</v>
      </c>
      <c r="I1274" s="23" t="n">
        <v>420000</v>
      </c>
      <c r="J1274" t="inlineStr">
        <is>
          <t>Jan</t>
        </is>
      </c>
      <c r="K1274" t="n">
        <v>1</v>
      </c>
      <c r="L1274" t="inlineStr">
        <is>
          <t>Q1</t>
        </is>
      </c>
      <c r="M1274" t="n">
        <v>2024</v>
      </c>
      <c r="N1274" s="22" t="n">
        <v>45292</v>
      </c>
      <c r="O1274" s="24" t="n">
        <v>0.9285</v>
      </c>
      <c r="P1274" s="23" t="n">
        <v>-30030</v>
      </c>
    </row>
    <row r="1275">
      <c r="A1275" t="inlineStr">
        <is>
          <t>Augmentin 1000 MG</t>
        </is>
      </c>
      <c r="B1275" t="inlineStr">
        <is>
          <t>Dakahlia 1</t>
        </is>
      </c>
      <c r="C1275" s="22" t="n">
        <v>45323</v>
      </c>
      <c r="D1275" t="inlineStr">
        <is>
          <t>Nour El-Din</t>
        </is>
      </c>
      <c r="E1275" t="n">
        <v>210</v>
      </c>
      <c r="F1275" t="n">
        <v>3464</v>
      </c>
      <c r="G1275" t="n">
        <v>3871</v>
      </c>
      <c r="H1275" s="23" t="n">
        <v>727440</v>
      </c>
      <c r="I1275" s="23" t="n">
        <v>812910</v>
      </c>
      <c r="J1275" t="inlineStr">
        <is>
          <t>Feb</t>
        </is>
      </c>
      <c r="K1275" t="n">
        <v>2</v>
      </c>
      <c r="L1275" t="inlineStr">
        <is>
          <t>Q1</t>
        </is>
      </c>
      <c r="M1275" t="n">
        <v>2024</v>
      </c>
      <c r="N1275" s="22" t="n">
        <v>45323</v>
      </c>
      <c r="O1275" s="24" t="n">
        <v>0.8948592095065875</v>
      </c>
      <c r="P1275" s="23" t="n">
        <v>-85470</v>
      </c>
    </row>
    <row r="1276">
      <c r="A1276" t="inlineStr">
        <is>
          <t>Augmentin 1000 MG</t>
        </is>
      </c>
      <c r="B1276" t="inlineStr">
        <is>
          <t>Dakahlia 1</t>
        </is>
      </c>
      <c r="C1276" s="22" t="n">
        <v>45352</v>
      </c>
      <c r="D1276" t="inlineStr">
        <is>
          <t>Nour El-Din</t>
        </is>
      </c>
      <c r="E1276" t="n">
        <v>210</v>
      </c>
      <c r="F1276" t="n">
        <v>2315</v>
      </c>
      <c r="G1276" t="n">
        <v>2599</v>
      </c>
      <c r="H1276" s="23" t="n">
        <v>486150</v>
      </c>
      <c r="I1276" s="23" t="n">
        <v>545790</v>
      </c>
      <c r="J1276" t="inlineStr">
        <is>
          <t>Mar</t>
        </is>
      </c>
      <c r="K1276" t="n">
        <v>3</v>
      </c>
      <c r="L1276" t="inlineStr">
        <is>
          <t>Q1</t>
        </is>
      </c>
      <c r="M1276" t="n">
        <v>2024</v>
      </c>
      <c r="N1276" s="22" t="n">
        <v>45352</v>
      </c>
      <c r="O1276" s="24" t="n">
        <v>0.8907272027702963</v>
      </c>
      <c r="P1276" s="23" t="n">
        <v>-59640</v>
      </c>
    </row>
    <row r="1277">
      <c r="A1277" t="inlineStr">
        <is>
          <t>Augmentin 1000 MG</t>
        </is>
      </c>
      <c r="B1277" t="inlineStr">
        <is>
          <t>Dakahlia 1</t>
        </is>
      </c>
      <c r="C1277" s="22" t="n">
        <v>45383</v>
      </c>
      <c r="D1277" t="inlineStr">
        <is>
          <t>Nour El-Din</t>
        </is>
      </c>
      <c r="E1277" t="n">
        <v>210</v>
      </c>
      <c r="F1277" t="n">
        <v>3502</v>
      </c>
      <c r="G1277" t="n">
        <v>3681</v>
      </c>
      <c r="H1277" s="23" t="n">
        <v>735420</v>
      </c>
      <c r="I1277" s="23" t="n">
        <v>773010</v>
      </c>
      <c r="J1277" t="inlineStr">
        <is>
          <t>Apr</t>
        </is>
      </c>
      <c r="K1277" t="n">
        <v>4</v>
      </c>
      <c r="L1277" t="inlineStr">
        <is>
          <t>Q2</t>
        </is>
      </c>
      <c r="M1277" t="n">
        <v>2024</v>
      </c>
      <c r="N1277" s="22" t="n">
        <v>45383</v>
      </c>
      <c r="O1277" s="24" t="n">
        <v>0.9513719098071176</v>
      </c>
      <c r="P1277" s="23" t="n">
        <v>-37590</v>
      </c>
    </row>
    <row r="1278">
      <c r="A1278" t="inlineStr">
        <is>
          <t>Augmentin 1000 MG</t>
        </is>
      </c>
      <c r="B1278" t="inlineStr">
        <is>
          <t>Dakahlia 1</t>
        </is>
      </c>
      <c r="C1278" s="22" t="n">
        <v>45413</v>
      </c>
      <c r="D1278" t="inlineStr">
        <is>
          <t>Nour El-Din</t>
        </is>
      </c>
      <c r="E1278" t="n">
        <v>210</v>
      </c>
      <c r="F1278" t="n">
        <v>3094</v>
      </c>
      <c r="G1278" t="n">
        <v>3321</v>
      </c>
      <c r="H1278" s="23" t="n">
        <v>649740</v>
      </c>
      <c r="I1278" s="23" t="n">
        <v>697410</v>
      </c>
      <c r="J1278" t="inlineStr">
        <is>
          <t>May</t>
        </is>
      </c>
      <c r="K1278" t="n">
        <v>5</v>
      </c>
      <c r="L1278" t="inlineStr">
        <is>
          <t>Q2</t>
        </is>
      </c>
      <c r="M1278" t="n">
        <v>2024</v>
      </c>
      <c r="N1278" s="22" t="n">
        <v>45413</v>
      </c>
      <c r="O1278" s="24" t="n">
        <v>0.9316470942487203</v>
      </c>
      <c r="P1278" s="23" t="n">
        <v>-47670</v>
      </c>
    </row>
    <row r="1279">
      <c r="A1279" t="inlineStr">
        <is>
          <t>Augmentin 1000 MG</t>
        </is>
      </c>
      <c r="B1279" t="inlineStr">
        <is>
          <t>Dakahlia 1</t>
        </is>
      </c>
      <c r="C1279" s="22" t="n">
        <v>45444</v>
      </c>
      <c r="D1279" t="inlineStr">
        <is>
          <t>Nour El-Din</t>
        </is>
      </c>
      <c r="E1279" t="n">
        <v>210</v>
      </c>
      <c r="F1279" t="n">
        <v>2296</v>
      </c>
      <c r="G1279" t="n">
        <v>2178</v>
      </c>
      <c r="H1279" s="23" t="n">
        <v>482160</v>
      </c>
      <c r="I1279" s="23" t="n">
        <v>457380</v>
      </c>
      <c r="J1279" t="inlineStr">
        <is>
          <t>Jun</t>
        </is>
      </c>
      <c r="K1279" t="n">
        <v>6</v>
      </c>
      <c r="L1279" t="inlineStr">
        <is>
          <t>Q2</t>
        </is>
      </c>
      <c r="M1279" t="n">
        <v>2024</v>
      </c>
      <c r="N1279" s="22" t="n">
        <v>45444</v>
      </c>
      <c r="O1279" s="24" t="n">
        <v>1.054178145087236</v>
      </c>
      <c r="P1279" s="23" t="n">
        <v>24780</v>
      </c>
    </row>
    <row r="1280">
      <c r="A1280" t="inlineStr">
        <is>
          <t>Augmentin 1000 MG</t>
        </is>
      </c>
      <c r="B1280" t="inlineStr">
        <is>
          <t>Dakahlia 1</t>
        </is>
      </c>
      <c r="C1280" s="22" t="n">
        <v>45474</v>
      </c>
      <c r="D1280" t="inlineStr">
        <is>
          <t>Nour El-Din</t>
        </is>
      </c>
      <c r="E1280" t="n">
        <v>210</v>
      </c>
      <c r="F1280" t="n">
        <v>2871</v>
      </c>
      <c r="G1280" t="n">
        <v>2885</v>
      </c>
      <c r="H1280" s="23" t="n">
        <v>602910</v>
      </c>
      <c r="I1280" s="23" t="n">
        <v>605850</v>
      </c>
      <c r="J1280" t="inlineStr">
        <is>
          <t>Jul</t>
        </is>
      </c>
      <c r="K1280" t="n">
        <v>7</v>
      </c>
      <c r="L1280" t="inlineStr">
        <is>
          <t>Q3</t>
        </is>
      </c>
      <c r="M1280" t="n">
        <v>2024</v>
      </c>
      <c r="N1280" s="22" t="n">
        <v>45474</v>
      </c>
      <c r="O1280" s="24" t="n">
        <v>0.9951473136915078</v>
      </c>
      <c r="P1280" s="23" t="n">
        <v>-2940</v>
      </c>
    </row>
    <row r="1281">
      <c r="A1281" t="inlineStr">
        <is>
          <t>Augmentin 1000 MG</t>
        </is>
      </c>
      <c r="B1281" t="inlineStr">
        <is>
          <t>Dakahlia 1</t>
        </is>
      </c>
      <c r="C1281" s="22" t="n">
        <v>45505</v>
      </c>
      <c r="D1281" t="inlineStr">
        <is>
          <t>Nour El-Din</t>
        </is>
      </c>
      <c r="E1281" t="n">
        <v>210</v>
      </c>
      <c r="F1281" t="n">
        <v>3356</v>
      </c>
      <c r="G1281" t="n">
        <v>3490</v>
      </c>
      <c r="H1281" s="23" t="n">
        <v>704760</v>
      </c>
      <c r="I1281" s="23" t="n">
        <v>732900</v>
      </c>
      <c r="J1281" t="inlineStr">
        <is>
          <t>Aug</t>
        </is>
      </c>
      <c r="K1281" t="n">
        <v>8</v>
      </c>
      <c r="L1281" t="inlineStr">
        <is>
          <t>Q3</t>
        </is>
      </c>
      <c r="M1281" t="n">
        <v>2024</v>
      </c>
      <c r="N1281" s="22" t="n">
        <v>45505</v>
      </c>
      <c r="O1281" s="24" t="n">
        <v>0.9616045845272206</v>
      </c>
      <c r="P1281" s="23" t="n">
        <v>-28140</v>
      </c>
    </row>
    <row r="1282">
      <c r="A1282" t="inlineStr">
        <is>
          <t>Augmentin 1000 MG</t>
        </is>
      </c>
      <c r="B1282" t="inlineStr">
        <is>
          <t>Dakahlia 1</t>
        </is>
      </c>
      <c r="C1282" s="22" t="n">
        <v>45536</v>
      </c>
      <c r="D1282" t="inlineStr">
        <is>
          <t>Nour El-Din</t>
        </is>
      </c>
      <c r="E1282" t="n">
        <v>210</v>
      </c>
      <c r="F1282" t="n">
        <v>3887</v>
      </c>
      <c r="G1282" t="n">
        <v>3545</v>
      </c>
      <c r="H1282" s="23" t="n">
        <v>816270</v>
      </c>
      <c r="I1282" s="23" t="n">
        <v>744450</v>
      </c>
      <c r="J1282" t="inlineStr">
        <is>
          <t>Sep</t>
        </is>
      </c>
      <c r="K1282" t="n">
        <v>9</v>
      </c>
      <c r="L1282" t="inlineStr">
        <is>
          <t>Q3</t>
        </is>
      </c>
      <c r="M1282" t="n">
        <v>2024</v>
      </c>
      <c r="N1282" s="22" t="n">
        <v>45536</v>
      </c>
      <c r="O1282" s="24" t="n">
        <v>1.096473906911142</v>
      </c>
      <c r="P1282" s="23" t="n">
        <v>71820</v>
      </c>
    </row>
    <row r="1283">
      <c r="A1283" t="inlineStr">
        <is>
          <t>Augmentin 1000 MG</t>
        </is>
      </c>
      <c r="B1283" t="inlineStr">
        <is>
          <t>Dakahlia 1</t>
        </is>
      </c>
      <c r="C1283" s="22" t="n">
        <v>45566</v>
      </c>
      <c r="D1283" t="inlineStr">
        <is>
          <t>Nour El-Din</t>
        </is>
      </c>
      <c r="E1283" t="n">
        <v>210</v>
      </c>
      <c r="F1283" t="n">
        <v>3026</v>
      </c>
      <c r="G1283" t="n">
        <v>3189</v>
      </c>
      <c r="H1283" s="23" t="n">
        <v>635460</v>
      </c>
      <c r="I1283" s="23" t="n">
        <v>669690</v>
      </c>
      <c r="J1283" t="inlineStr">
        <is>
          <t>Oct</t>
        </is>
      </c>
      <c r="K1283" t="n">
        <v>10</v>
      </c>
      <c r="L1283" t="inlineStr">
        <is>
          <t>Q4</t>
        </is>
      </c>
      <c r="M1283" t="n">
        <v>2024</v>
      </c>
      <c r="N1283" s="22" t="n">
        <v>45566</v>
      </c>
      <c r="O1283" s="24" t="n">
        <v>0.9488867983693948</v>
      </c>
      <c r="P1283" s="23" t="n">
        <v>-34230</v>
      </c>
    </row>
    <row r="1284">
      <c r="A1284" t="inlineStr">
        <is>
          <t>Augmentin 1000 MG</t>
        </is>
      </c>
      <c r="B1284" t="inlineStr">
        <is>
          <t>Dakahlia 1</t>
        </is>
      </c>
      <c r="C1284" s="22" t="n">
        <v>45597</v>
      </c>
      <c r="D1284" t="inlineStr">
        <is>
          <t>Nour El-Din</t>
        </is>
      </c>
      <c r="E1284" t="n">
        <v>210</v>
      </c>
      <c r="F1284" t="n">
        <v>3160</v>
      </c>
      <c r="G1284" t="n">
        <v>3223</v>
      </c>
      <c r="H1284" s="23" t="n">
        <v>663600</v>
      </c>
      <c r="I1284" s="23" t="n">
        <v>676830</v>
      </c>
      <c r="J1284" t="inlineStr">
        <is>
          <t>Nov</t>
        </is>
      </c>
      <c r="K1284" t="n">
        <v>11</v>
      </c>
      <c r="L1284" t="inlineStr">
        <is>
          <t>Q4</t>
        </is>
      </c>
      <c r="M1284" t="n">
        <v>2024</v>
      </c>
      <c r="N1284" s="22" t="n">
        <v>45597</v>
      </c>
      <c r="O1284" s="24" t="n">
        <v>0.9804529941048712</v>
      </c>
      <c r="P1284" s="23" t="n">
        <v>-13230</v>
      </c>
    </row>
    <row r="1285">
      <c r="A1285" t="inlineStr">
        <is>
          <t>Augmentin 1000 MG</t>
        </is>
      </c>
      <c r="B1285" t="inlineStr">
        <is>
          <t>Dakahlia 1</t>
        </is>
      </c>
      <c r="C1285" s="22" t="n">
        <v>45627</v>
      </c>
      <c r="D1285" t="inlineStr">
        <is>
          <t>Nour El-Din</t>
        </is>
      </c>
      <c r="E1285" t="n">
        <v>210</v>
      </c>
      <c r="F1285" t="n">
        <v>2621</v>
      </c>
      <c r="G1285" t="n">
        <v>2574</v>
      </c>
      <c r="H1285" s="23" t="n">
        <v>550410</v>
      </c>
      <c r="I1285" s="23" t="n">
        <v>540540</v>
      </c>
      <c r="J1285" t="inlineStr">
        <is>
          <t>Dec</t>
        </is>
      </c>
      <c r="K1285" t="n">
        <v>12</v>
      </c>
      <c r="L1285" t="inlineStr">
        <is>
          <t>Q4</t>
        </is>
      </c>
      <c r="M1285" t="n">
        <v>2024</v>
      </c>
      <c r="N1285" s="22" t="n">
        <v>45627</v>
      </c>
      <c r="O1285" s="24" t="n">
        <v>1.018259518259518</v>
      </c>
      <c r="P1285" s="23" t="n">
        <v>9870</v>
      </c>
    </row>
    <row r="1286">
      <c r="A1286" t="inlineStr">
        <is>
          <t>Augmentin 1000 MG</t>
        </is>
      </c>
      <c r="B1286" t="inlineStr">
        <is>
          <t>Dakahlia 2</t>
        </is>
      </c>
      <c r="C1286" s="22" t="n">
        <v>45292</v>
      </c>
      <c r="D1286" t="inlineStr">
        <is>
          <t>Omar Khaled</t>
        </is>
      </c>
      <c r="E1286" t="n">
        <v>210</v>
      </c>
      <c r="F1286" t="n">
        <v>3782</v>
      </c>
      <c r="G1286" t="n">
        <v>3125</v>
      </c>
      <c r="H1286" s="23" t="n">
        <v>794220</v>
      </c>
      <c r="I1286" s="23" t="n">
        <v>656250</v>
      </c>
      <c r="J1286" t="inlineStr">
        <is>
          <t>Jan</t>
        </is>
      </c>
      <c r="K1286" t="n">
        <v>1</v>
      </c>
      <c r="L1286" t="inlineStr">
        <is>
          <t>Q1</t>
        </is>
      </c>
      <c r="M1286" t="n">
        <v>2024</v>
      </c>
      <c r="N1286" s="22" t="n">
        <v>45292</v>
      </c>
      <c r="O1286" s="24" t="n">
        <v>1.21024</v>
      </c>
      <c r="P1286" s="23" t="n">
        <v>137970</v>
      </c>
    </row>
    <row r="1287">
      <c r="A1287" t="inlineStr">
        <is>
          <t>Augmentin 1000 MG</t>
        </is>
      </c>
      <c r="B1287" t="inlineStr">
        <is>
          <t>Dakahlia 2</t>
        </is>
      </c>
      <c r="C1287" s="22" t="n">
        <v>45323</v>
      </c>
      <c r="D1287" t="inlineStr">
        <is>
          <t>Omar Khaled</t>
        </is>
      </c>
      <c r="E1287" t="n">
        <v>210</v>
      </c>
      <c r="F1287" t="n">
        <v>2996</v>
      </c>
      <c r="G1287" t="n">
        <v>3323</v>
      </c>
      <c r="H1287" s="23" t="n">
        <v>629160</v>
      </c>
      <c r="I1287" s="23" t="n">
        <v>697830</v>
      </c>
      <c r="J1287" t="inlineStr">
        <is>
          <t>Feb</t>
        </is>
      </c>
      <c r="K1287" t="n">
        <v>2</v>
      </c>
      <c r="L1287" t="inlineStr">
        <is>
          <t>Q1</t>
        </is>
      </c>
      <c r="M1287" t="n">
        <v>2024</v>
      </c>
      <c r="N1287" s="22" t="n">
        <v>45323</v>
      </c>
      <c r="O1287" s="24" t="n">
        <v>0.9015949443274149</v>
      </c>
      <c r="P1287" s="23" t="n">
        <v>-68670</v>
      </c>
    </row>
    <row r="1288">
      <c r="A1288" t="inlineStr">
        <is>
          <t>Augmentin 1000 MG</t>
        </is>
      </c>
      <c r="B1288" t="inlineStr">
        <is>
          <t>Dakahlia 2</t>
        </is>
      </c>
      <c r="C1288" s="22" t="n">
        <v>45352</v>
      </c>
      <c r="D1288" t="inlineStr">
        <is>
          <t>Omar Khaled</t>
        </is>
      </c>
      <c r="E1288" t="n">
        <v>210</v>
      </c>
      <c r="F1288" t="n">
        <v>3070</v>
      </c>
      <c r="G1288" t="n">
        <v>3428</v>
      </c>
      <c r="H1288" s="23" t="n">
        <v>644700</v>
      </c>
      <c r="I1288" s="23" t="n">
        <v>719880</v>
      </c>
      <c r="J1288" t="inlineStr">
        <is>
          <t>Mar</t>
        </is>
      </c>
      <c r="K1288" t="n">
        <v>3</v>
      </c>
      <c r="L1288" t="inlineStr">
        <is>
          <t>Q1</t>
        </is>
      </c>
      <c r="M1288" t="n">
        <v>2024</v>
      </c>
      <c r="N1288" s="22" t="n">
        <v>45352</v>
      </c>
      <c r="O1288" s="24" t="n">
        <v>0.8955659276546091</v>
      </c>
      <c r="P1288" s="23" t="n">
        <v>-75180</v>
      </c>
    </row>
    <row r="1289">
      <c r="A1289" t="inlineStr">
        <is>
          <t>Augmentin 1000 MG</t>
        </is>
      </c>
      <c r="B1289" t="inlineStr">
        <is>
          <t>Dakahlia 2</t>
        </is>
      </c>
      <c r="C1289" s="22" t="n">
        <v>45383</v>
      </c>
      <c r="D1289" t="inlineStr">
        <is>
          <t>Omar Khaled</t>
        </is>
      </c>
      <c r="E1289" t="n">
        <v>210</v>
      </c>
      <c r="F1289" t="n">
        <v>3265</v>
      </c>
      <c r="G1289" t="n">
        <v>3507</v>
      </c>
      <c r="H1289" s="23" t="n">
        <v>685650</v>
      </c>
      <c r="I1289" s="23" t="n">
        <v>736470</v>
      </c>
      <c r="J1289" t="inlineStr">
        <is>
          <t>Apr</t>
        </is>
      </c>
      <c r="K1289" t="n">
        <v>4</v>
      </c>
      <c r="L1289" t="inlineStr">
        <is>
          <t>Q2</t>
        </is>
      </c>
      <c r="M1289" t="n">
        <v>2024</v>
      </c>
      <c r="N1289" s="22" t="n">
        <v>45383</v>
      </c>
      <c r="O1289" s="24" t="n">
        <v>0.9309951525520388</v>
      </c>
      <c r="P1289" s="23" t="n">
        <v>-50820</v>
      </c>
    </row>
    <row r="1290">
      <c r="A1290" t="inlineStr">
        <is>
          <t>Augmentin 1000 MG</t>
        </is>
      </c>
      <c r="B1290" t="inlineStr">
        <is>
          <t>Dakahlia 2</t>
        </is>
      </c>
      <c r="C1290" s="22" t="n">
        <v>45413</v>
      </c>
      <c r="D1290" t="inlineStr">
        <is>
          <t>Omar Khaled</t>
        </is>
      </c>
      <c r="E1290" t="n">
        <v>210</v>
      </c>
      <c r="F1290" t="n">
        <v>1786</v>
      </c>
      <c r="G1290" t="n">
        <v>2079</v>
      </c>
      <c r="H1290" s="23" t="n">
        <v>375060</v>
      </c>
      <c r="I1290" s="23" t="n">
        <v>436590</v>
      </c>
      <c r="J1290" t="inlineStr">
        <is>
          <t>May</t>
        </is>
      </c>
      <c r="K1290" t="n">
        <v>5</v>
      </c>
      <c r="L1290" t="inlineStr">
        <is>
          <t>Q2</t>
        </is>
      </c>
      <c r="M1290" t="n">
        <v>2024</v>
      </c>
      <c r="N1290" s="22" t="n">
        <v>45413</v>
      </c>
      <c r="O1290" s="24" t="n">
        <v>0.8590668590668591</v>
      </c>
      <c r="P1290" s="23" t="n">
        <v>-61530</v>
      </c>
    </row>
    <row r="1291">
      <c r="A1291" t="inlineStr">
        <is>
          <t>Augmentin 1000 MG</t>
        </is>
      </c>
      <c r="B1291" t="inlineStr">
        <is>
          <t>Dakahlia 2</t>
        </is>
      </c>
      <c r="C1291" s="22" t="n">
        <v>45444</v>
      </c>
      <c r="D1291" t="inlineStr">
        <is>
          <t>Omar Khaled</t>
        </is>
      </c>
      <c r="E1291" t="n">
        <v>210</v>
      </c>
      <c r="F1291" t="n">
        <v>2354</v>
      </c>
      <c r="G1291" t="n">
        <v>2276</v>
      </c>
      <c r="H1291" s="23" t="n">
        <v>494340</v>
      </c>
      <c r="I1291" s="23" t="n">
        <v>477960</v>
      </c>
      <c r="J1291" t="inlineStr">
        <is>
          <t>Jun</t>
        </is>
      </c>
      <c r="K1291" t="n">
        <v>6</v>
      </c>
      <c r="L1291" t="inlineStr">
        <is>
          <t>Q2</t>
        </is>
      </c>
      <c r="M1291" t="n">
        <v>2024</v>
      </c>
      <c r="N1291" s="22" t="n">
        <v>45444</v>
      </c>
      <c r="O1291" s="24" t="n">
        <v>1.03427065026362</v>
      </c>
      <c r="P1291" s="23" t="n">
        <v>16380</v>
      </c>
    </row>
    <row r="1292">
      <c r="A1292" t="inlineStr">
        <is>
          <t>Augmentin 1000 MG</t>
        </is>
      </c>
      <c r="B1292" t="inlineStr">
        <is>
          <t>Dakahlia 2</t>
        </is>
      </c>
      <c r="C1292" s="22" t="n">
        <v>45474</v>
      </c>
      <c r="D1292" t="inlineStr">
        <is>
          <t>Omar Khaled</t>
        </is>
      </c>
      <c r="E1292" t="n">
        <v>210</v>
      </c>
      <c r="F1292" t="n">
        <v>2440</v>
      </c>
      <c r="G1292" t="n">
        <v>2508</v>
      </c>
      <c r="H1292" s="23" t="n">
        <v>512400</v>
      </c>
      <c r="I1292" s="23" t="n">
        <v>526680</v>
      </c>
      <c r="J1292" t="inlineStr">
        <is>
          <t>Jul</t>
        </is>
      </c>
      <c r="K1292" t="n">
        <v>7</v>
      </c>
      <c r="L1292" t="inlineStr">
        <is>
          <t>Q3</t>
        </is>
      </c>
      <c r="M1292" t="n">
        <v>2024</v>
      </c>
      <c r="N1292" s="22" t="n">
        <v>45474</v>
      </c>
      <c r="O1292" s="24" t="n">
        <v>0.9728867623604466</v>
      </c>
      <c r="P1292" s="23" t="n">
        <v>-14280</v>
      </c>
    </row>
    <row r="1293">
      <c r="A1293" t="inlineStr">
        <is>
          <t>Augmentin 1000 MG</t>
        </is>
      </c>
      <c r="B1293" t="inlineStr">
        <is>
          <t>Dakahlia 2</t>
        </is>
      </c>
      <c r="C1293" s="22" t="n">
        <v>45505</v>
      </c>
      <c r="D1293" t="inlineStr">
        <is>
          <t>Omar Khaled</t>
        </is>
      </c>
      <c r="E1293" t="n">
        <v>210</v>
      </c>
      <c r="F1293" t="n">
        <v>2963</v>
      </c>
      <c r="G1293" t="n">
        <v>3396</v>
      </c>
      <c r="H1293" s="23" t="n">
        <v>622230</v>
      </c>
      <c r="I1293" s="23" t="n">
        <v>713160</v>
      </c>
      <c r="J1293" t="inlineStr">
        <is>
          <t>Aug</t>
        </is>
      </c>
      <c r="K1293" t="n">
        <v>8</v>
      </c>
      <c r="L1293" t="inlineStr">
        <is>
          <t>Q3</t>
        </is>
      </c>
      <c r="M1293" t="n">
        <v>2024</v>
      </c>
      <c r="N1293" s="22" t="n">
        <v>45505</v>
      </c>
      <c r="O1293" s="24" t="n">
        <v>0.8724970553592462</v>
      </c>
      <c r="P1293" s="23" t="n">
        <v>-90930</v>
      </c>
    </row>
    <row r="1294">
      <c r="A1294" t="inlineStr">
        <is>
          <t>Augmentin 1000 MG</t>
        </is>
      </c>
      <c r="B1294" t="inlineStr">
        <is>
          <t>Dakahlia 2</t>
        </is>
      </c>
      <c r="C1294" s="22" t="n">
        <v>45536</v>
      </c>
      <c r="D1294" t="inlineStr">
        <is>
          <t>Omar Khaled</t>
        </is>
      </c>
      <c r="E1294" t="n">
        <v>210</v>
      </c>
      <c r="F1294" t="n">
        <v>2637</v>
      </c>
      <c r="G1294" t="n">
        <v>3080</v>
      </c>
      <c r="H1294" s="23" t="n">
        <v>553770</v>
      </c>
      <c r="I1294" s="23" t="n">
        <v>646800</v>
      </c>
      <c r="J1294" t="inlineStr">
        <is>
          <t>Sep</t>
        </is>
      </c>
      <c r="K1294" t="n">
        <v>9</v>
      </c>
      <c r="L1294" t="inlineStr">
        <is>
          <t>Q3</t>
        </is>
      </c>
      <c r="M1294" t="n">
        <v>2024</v>
      </c>
      <c r="N1294" s="22" t="n">
        <v>45536</v>
      </c>
      <c r="O1294" s="24" t="n">
        <v>0.8561688311688311</v>
      </c>
      <c r="P1294" s="23" t="n">
        <v>-93030</v>
      </c>
    </row>
    <row r="1295">
      <c r="A1295" t="inlineStr">
        <is>
          <t>Augmentin 1000 MG</t>
        </is>
      </c>
      <c r="B1295" t="inlineStr">
        <is>
          <t>Dakahlia 2</t>
        </is>
      </c>
      <c r="C1295" s="22" t="n">
        <v>45566</v>
      </c>
      <c r="D1295" t="inlineStr">
        <is>
          <t>Omar Khaled</t>
        </is>
      </c>
      <c r="E1295" t="n">
        <v>210</v>
      </c>
      <c r="F1295" t="n">
        <v>3062</v>
      </c>
      <c r="G1295" t="n">
        <v>3099</v>
      </c>
      <c r="H1295" s="23" t="n">
        <v>643020</v>
      </c>
      <c r="I1295" s="23" t="n">
        <v>650790</v>
      </c>
      <c r="J1295" t="inlineStr">
        <is>
          <t>Oct</t>
        </is>
      </c>
      <c r="K1295" t="n">
        <v>10</v>
      </c>
      <c r="L1295" t="inlineStr">
        <is>
          <t>Q4</t>
        </is>
      </c>
      <c r="M1295" t="n">
        <v>2024</v>
      </c>
      <c r="N1295" s="22" t="n">
        <v>45566</v>
      </c>
      <c r="O1295" s="24" t="n">
        <v>0.9880606647305582</v>
      </c>
      <c r="P1295" s="23" t="n">
        <v>-7770</v>
      </c>
    </row>
    <row r="1296">
      <c r="A1296" t="inlineStr">
        <is>
          <t>Augmentin 1000 MG</t>
        </is>
      </c>
      <c r="B1296" t="inlineStr">
        <is>
          <t>Dakahlia 2</t>
        </is>
      </c>
      <c r="C1296" s="22" t="n">
        <v>45597</v>
      </c>
      <c r="D1296" t="inlineStr">
        <is>
          <t>Omar Khaled</t>
        </is>
      </c>
      <c r="E1296" t="n">
        <v>210</v>
      </c>
      <c r="F1296" t="n">
        <v>3228</v>
      </c>
      <c r="G1296" t="n">
        <v>2988</v>
      </c>
      <c r="H1296" s="23" t="n">
        <v>677880</v>
      </c>
      <c r="I1296" s="23" t="n">
        <v>627480</v>
      </c>
      <c r="J1296" t="inlineStr">
        <is>
          <t>Nov</t>
        </is>
      </c>
      <c r="K1296" t="n">
        <v>11</v>
      </c>
      <c r="L1296" t="inlineStr">
        <is>
          <t>Q4</t>
        </is>
      </c>
      <c r="M1296" t="n">
        <v>2024</v>
      </c>
      <c r="N1296" s="22" t="n">
        <v>45597</v>
      </c>
      <c r="O1296" s="24" t="n">
        <v>1.080321285140562</v>
      </c>
      <c r="P1296" s="23" t="n">
        <v>50400</v>
      </c>
    </row>
    <row r="1297">
      <c r="A1297" t="inlineStr">
        <is>
          <t>Augmentin 1000 MG</t>
        </is>
      </c>
      <c r="B1297" t="inlineStr">
        <is>
          <t>Dakahlia 2</t>
        </is>
      </c>
      <c r="C1297" s="22" t="n">
        <v>45627</v>
      </c>
      <c r="D1297" t="inlineStr">
        <is>
          <t>Omar Khaled</t>
        </is>
      </c>
      <c r="E1297" t="n">
        <v>210</v>
      </c>
      <c r="F1297" t="n">
        <v>3557</v>
      </c>
      <c r="G1297" t="n">
        <v>3755</v>
      </c>
      <c r="H1297" s="23" t="n">
        <v>746970</v>
      </c>
      <c r="I1297" s="23" t="n">
        <v>788550</v>
      </c>
      <c r="J1297" t="inlineStr">
        <is>
          <t>Dec</t>
        </is>
      </c>
      <c r="K1297" t="n">
        <v>12</v>
      </c>
      <c r="L1297" t="inlineStr">
        <is>
          <t>Q4</t>
        </is>
      </c>
      <c r="M1297" t="n">
        <v>2024</v>
      </c>
      <c r="N1297" s="22" t="n">
        <v>45627</v>
      </c>
      <c r="O1297" s="24" t="n">
        <v>0.9472703062583222</v>
      </c>
      <c r="P1297" s="23" t="n">
        <v>-41580</v>
      </c>
    </row>
    <row r="1298">
      <c r="A1298" t="inlineStr">
        <is>
          <t>Augmentin 1000 MG</t>
        </is>
      </c>
      <c r="B1298" t="inlineStr">
        <is>
          <t>Sharqia 1</t>
        </is>
      </c>
      <c r="C1298" s="22" t="n">
        <v>45292</v>
      </c>
      <c r="D1298" t="inlineStr">
        <is>
          <t>Sara Ibrahim</t>
        </is>
      </c>
      <c r="E1298" t="n">
        <v>210</v>
      </c>
      <c r="F1298" t="n">
        <v>2567</v>
      </c>
      <c r="G1298" t="n">
        <v>3125</v>
      </c>
      <c r="H1298" s="23" t="n">
        <v>539070</v>
      </c>
      <c r="I1298" s="23" t="n">
        <v>656250</v>
      </c>
      <c r="J1298" t="inlineStr">
        <is>
          <t>Jan</t>
        </is>
      </c>
      <c r="K1298" t="n">
        <v>1</v>
      </c>
      <c r="L1298" t="inlineStr">
        <is>
          <t>Q1</t>
        </is>
      </c>
      <c r="M1298" t="n">
        <v>2024</v>
      </c>
      <c r="N1298" s="22" t="n">
        <v>45292</v>
      </c>
      <c r="O1298" s="24" t="n">
        <v>0.8214399999999999</v>
      </c>
      <c r="P1298" s="23" t="n">
        <v>-117180</v>
      </c>
    </row>
    <row r="1299">
      <c r="A1299" t="inlineStr">
        <is>
          <t>Augmentin 1000 MG</t>
        </is>
      </c>
      <c r="B1299" t="inlineStr">
        <is>
          <t>Sharqia 1</t>
        </is>
      </c>
      <c r="C1299" s="22" t="n">
        <v>45323</v>
      </c>
      <c r="D1299" t="inlineStr">
        <is>
          <t>Sara Ibrahim</t>
        </is>
      </c>
      <c r="E1299" t="n">
        <v>210</v>
      </c>
      <c r="F1299" t="n">
        <v>2469</v>
      </c>
      <c r="G1299" t="n">
        <v>2839</v>
      </c>
      <c r="H1299" s="23" t="n">
        <v>518490</v>
      </c>
      <c r="I1299" s="23" t="n">
        <v>596190</v>
      </c>
      <c r="J1299" t="inlineStr">
        <is>
          <t>Feb</t>
        </is>
      </c>
      <c r="K1299" t="n">
        <v>2</v>
      </c>
      <c r="L1299" t="inlineStr">
        <is>
          <t>Q1</t>
        </is>
      </c>
      <c r="M1299" t="n">
        <v>2024</v>
      </c>
      <c r="N1299" s="22" t="n">
        <v>45323</v>
      </c>
      <c r="O1299" s="24" t="n">
        <v>0.8696724198661501</v>
      </c>
      <c r="P1299" s="23" t="n">
        <v>-77700</v>
      </c>
    </row>
    <row r="1300">
      <c r="A1300" t="inlineStr">
        <is>
          <t>Augmentin 1000 MG</t>
        </is>
      </c>
      <c r="B1300" t="inlineStr">
        <is>
          <t>Sharqia 1</t>
        </is>
      </c>
      <c r="C1300" s="22" t="n">
        <v>45352</v>
      </c>
      <c r="D1300" t="inlineStr">
        <is>
          <t>Sara Ibrahim</t>
        </is>
      </c>
      <c r="E1300" t="n">
        <v>210</v>
      </c>
      <c r="F1300" t="n">
        <v>2387</v>
      </c>
      <c r="G1300" t="n">
        <v>2452</v>
      </c>
      <c r="H1300" s="23" t="n">
        <v>501270</v>
      </c>
      <c r="I1300" s="23" t="n">
        <v>514920</v>
      </c>
      <c r="J1300" t="inlineStr">
        <is>
          <t>Mar</t>
        </is>
      </c>
      <c r="K1300" t="n">
        <v>3</v>
      </c>
      <c r="L1300" t="inlineStr">
        <is>
          <t>Q1</t>
        </is>
      </c>
      <c r="M1300" t="n">
        <v>2024</v>
      </c>
      <c r="N1300" s="22" t="n">
        <v>45352</v>
      </c>
      <c r="O1300" s="24" t="n">
        <v>0.9734910277324633</v>
      </c>
      <c r="P1300" s="23" t="n">
        <v>-13650</v>
      </c>
    </row>
    <row r="1301">
      <c r="A1301" t="inlineStr">
        <is>
          <t>Augmentin 1000 MG</t>
        </is>
      </c>
      <c r="B1301" t="inlineStr">
        <is>
          <t>Sharqia 1</t>
        </is>
      </c>
      <c r="C1301" s="22" t="n">
        <v>45383</v>
      </c>
      <c r="D1301" t="inlineStr">
        <is>
          <t>Sara Ibrahim</t>
        </is>
      </c>
      <c r="E1301" t="n">
        <v>210</v>
      </c>
      <c r="F1301" t="n">
        <v>2080</v>
      </c>
      <c r="G1301" t="n">
        <v>2392</v>
      </c>
      <c r="H1301" s="23" t="n">
        <v>436800</v>
      </c>
      <c r="I1301" s="23" t="n">
        <v>502320</v>
      </c>
      <c r="J1301" t="inlineStr">
        <is>
          <t>Apr</t>
        </is>
      </c>
      <c r="K1301" t="n">
        <v>4</v>
      </c>
      <c r="L1301" t="inlineStr">
        <is>
          <t>Q2</t>
        </is>
      </c>
      <c r="M1301" t="n">
        <v>2024</v>
      </c>
      <c r="N1301" s="22" t="n">
        <v>45383</v>
      </c>
      <c r="O1301" s="24" t="n">
        <v>0.8695652173913043</v>
      </c>
      <c r="P1301" s="23" t="n">
        <v>-65520</v>
      </c>
    </row>
    <row r="1302">
      <c r="A1302" t="inlineStr">
        <is>
          <t>Augmentin 1000 MG</t>
        </is>
      </c>
      <c r="B1302" t="inlineStr">
        <is>
          <t>Sharqia 1</t>
        </is>
      </c>
      <c r="C1302" s="22" t="n">
        <v>45413</v>
      </c>
      <c r="D1302" t="inlineStr">
        <is>
          <t>Sara Ibrahim</t>
        </is>
      </c>
      <c r="E1302" t="n">
        <v>210</v>
      </c>
      <c r="F1302" t="n">
        <v>2489</v>
      </c>
      <c r="G1302" t="n">
        <v>2730</v>
      </c>
      <c r="H1302" s="23" t="n">
        <v>522690</v>
      </c>
      <c r="I1302" s="23" t="n">
        <v>573300</v>
      </c>
      <c r="J1302" t="inlineStr">
        <is>
          <t>May</t>
        </is>
      </c>
      <c r="K1302" t="n">
        <v>5</v>
      </c>
      <c r="L1302" t="inlineStr">
        <is>
          <t>Q2</t>
        </is>
      </c>
      <c r="M1302" t="n">
        <v>2024</v>
      </c>
      <c r="N1302" s="22" t="n">
        <v>45413</v>
      </c>
      <c r="O1302" s="24" t="n">
        <v>0.9117216117216117</v>
      </c>
      <c r="P1302" s="23" t="n">
        <v>-50610</v>
      </c>
    </row>
    <row r="1303">
      <c r="A1303" t="inlineStr">
        <is>
          <t>Augmentin 1000 MG</t>
        </is>
      </c>
      <c r="B1303" t="inlineStr">
        <is>
          <t>Sharqia 1</t>
        </is>
      </c>
      <c r="C1303" s="22" t="n">
        <v>45444</v>
      </c>
      <c r="D1303" t="inlineStr">
        <is>
          <t>Sara Ibrahim</t>
        </is>
      </c>
      <c r="E1303" t="n">
        <v>210</v>
      </c>
      <c r="F1303" t="n">
        <v>2230</v>
      </c>
      <c r="G1303" t="n">
        <v>2564</v>
      </c>
      <c r="H1303" s="23" t="n">
        <v>468300</v>
      </c>
      <c r="I1303" s="23" t="n">
        <v>538440</v>
      </c>
      <c r="J1303" t="inlineStr">
        <is>
          <t>Jun</t>
        </is>
      </c>
      <c r="K1303" t="n">
        <v>6</v>
      </c>
      <c r="L1303" t="inlineStr">
        <is>
          <t>Q2</t>
        </is>
      </c>
      <c r="M1303" t="n">
        <v>2024</v>
      </c>
      <c r="N1303" s="22" t="n">
        <v>45444</v>
      </c>
      <c r="O1303" s="24" t="n">
        <v>0.8697347893915757</v>
      </c>
      <c r="P1303" s="23" t="n">
        <v>-70140</v>
      </c>
    </row>
    <row r="1304">
      <c r="A1304" t="inlineStr">
        <is>
          <t>Augmentin 1000 MG</t>
        </is>
      </c>
      <c r="B1304" t="inlineStr">
        <is>
          <t>Sharqia 1</t>
        </is>
      </c>
      <c r="C1304" s="22" t="n">
        <v>45474</v>
      </c>
      <c r="D1304" t="inlineStr">
        <is>
          <t>Sara Ibrahim</t>
        </is>
      </c>
      <c r="E1304" t="n">
        <v>210</v>
      </c>
      <c r="F1304" t="n">
        <v>2500</v>
      </c>
      <c r="G1304" t="n">
        <v>3672</v>
      </c>
      <c r="H1304" s="23" t="n">
        <v>525000</v>
      </c>
      <c r="I1304" s="23" t="n">
        <v>771120</v>
      </c>
      <c r="J1304" t="inlineStr">
        <is>
          <t>Jul</t>
        </is>
      </c>
      <c r="K1304" t="n">
        <v>7</v>
      </c>
      <c r="L1304" t="inlineStr">
        <is>
          <t>Q3</t>
        </is>
      </c>
      <c r="M1304" t="n">
        <v>2024</v>
      </c>
      <c r="N1304" s="22" t="n">
        <v>45474</v>
      </c>
      <c r="O1304" s="24" t="n">
        <v>0.6808278867102396</v>
      </c>
      <c r="P1304" s="23" t="n">
        <v>-246120</v>
      </c>
    </row>
    <row r="1305">
      <c r="A1305" t="inlineStr">
        <is>
          <t>Augmentin 1000 MG</t>
        </is>
      </c>
      <c r="B1305" t="inlineStr">
        <is>
          <t>Sharqia 1</t>
        </is>
      </c>
      <c r="C1305" s="22" t="n">
        <v>45505</v>
      </c>
      <c r="D1305" t="inlineStr">
        <is>
          <t>Sara Ibrahim</t>
        </is>
      </c>
      <c r="E1305" t="n">
        <v>210</v>
      </c>
      <c r="F1305" t="n">
        <v>1734</v>
      </c>
      <c r="G1305" t="n">
        <v>1994</v>
      </c>
      <c r="H1305" s="23" t="n">
        <v>364140</v>
      </c>
      <c r="I1305" s="23" t="n">
        <v>418740</v>
      </c>
      <c r="J1305" t="inlineStr">
        <is>
          <t>Aug</t>
        </is>
      </c>
      <c r="K1305" t="n">
        <v>8</v>
      </c>
      <c r="L1305" t="inlineStr">
        <is>
          <t>Q3</t>
        </is>
      </c>
      <c r="M1305" t="n">
        <v>2024</v>
      </c>
      <c r="N1305" s="22" t="n">
        <v>45505</v>
      </c>
      <c r="O1305" s="24" t="n">
        <v>0.8696088264794383</v>
      </c>
      <c r="P1305" s="23" t="n">
        <v>-54600</v>
      </c>
    </row>
    <row r="1306">
      <c r="A1306" t="inlineStr">
        <is>
          <t>Augmentin 1000 MG</t>
        </is>
      </c>
      <c r="B1306" t="inlineStr">
        <is>
          <t>Sharqia 1</t>
        </is>
      </c>
      <c r="C1306" s="22" t="n">
        <v>45536</v>
      </c>
      <c r="D1306" t="inlineStr">
        <is>
          <t>Sara Ibrahim</t>
        </is>
      </c>
      <c r="E1306" t="n">
        <v>210</v>
      </c>
      <c r="F1306" t="n">
        <v>1975</v>
      </c>
      <c r="G1306" t="n">
        <v>2024</v>
      </c>
      <c r="H1306" s="23" t="n">
        <v>414750</v>
      </c>
      <c r="I1306" s="23" t="n">
        <v>425040</v>
      </c>
      <c r="J1306" t="inlineStr">
        <is>
          <t>Sep</t>
        </is>
      </c>
      <c r="K1306" t="n">
        <v>9</v>
      </c>
      <c r="L1306" t="inlineStr">
        <is>
          <t>Q3</t>
        </is>
      </c>
      <c r="M1306" t="n">
        <v>2024</v>
      </c>
      <c r="N1306" s="22" t="n">
        <v>45536</v>
      </c>
      <c r="O1306" s="24" t="n">
        <v>0.9757905138339921</v>
      </c>
      <c r="P1306" s="23" t="n">
        <v>-10290</v>
      </c>
    </row>
    <row r="1307">
      <c r="A1307" t="inlineStr">
        <is>
          <t>Augmentin 1000 MG</t>
        </is>
      </c>
      <c r="B1307" t="inlineStr">
        <is>
          <t>Sharqia 1</t>
        </is>
      </c>
      <c r="C1307" s="22" t="n">
        <v>45566</v>
      </c>
      <c r="D1307" t="inlineStr">
        <is>
          <t>Sara Ibrahim</t>
        </is>
      </c>
      <c r="E1307" t="n">
        <v>210</v>
      </c>
      <c r="F1307" t="n">
        <v>2447</v>
      </c>
      <c r="G1307" t="n">
        <v>2814</v>
      </c>
      <c r="H1307" s="23" t="n">
        <v>513870</v>
      </c>
      <c r="I1307" s="23" t="n">
        <v>590940</v>
      </c>
      <c r="J1307" t="inlineStr">
        <is>
          <t>Oct</t>
        </is>
      </c>
      <c r="K1307" t="n">
        <v>10</v>
      </c>
      <c r="L1307" t="inlineStr">
        <is>
          <t>Q4</t>
        </is>
      </c>
      <c r="M1307" t="n">
        <v>2024</v>
      </c>
      <c r="N1307" s="22" t="n">
        <v>45566</v>
      </c>
      <c r="O1307" s="24" t="n">
        <v>0.8695806680881307</v>
      </c>
      <c r="P1307" s="23" t="n">
        <v>-77070</v>
      </c>
    </row>
    <row r="1308">
      <c r="A1308" t="inlineStr">
        <is>
          <t>Augmentin 1000 MG</t>
        </is>
      </c>
      <c r="B1308" t="inlineStr">
        <is>
          <t>Sharqia 1</t>
        </is>
      </c>
      <c r="C1308" s="22" t="n">
        <v>45597</v>
      </c>
      <c r="D1308" t="inlineStr">
        <is>
          <t>Sara Ibrahim</t>
        </is>
      </c>
      <c r="E1308" t="n">
        <v>210</v>
      </c>
      <c r="F1308" t="n">
        <v>3145</v>
      </c>
      <c r="G1308" t="n">
        <v>3387</v>
      </c>
      <c r="H1308" s="23" t="n">
        <v>660450</v>
      </c>
      <c r="I1308" s="23" t="n">
        <v>711270</v>
      </c>
      <c r="J1308" t="inlineStr">
        <is>
          <t>Nov</t>
        </is>
      </c>
      <c r="K1308" t="n">
        <v>11</v>
      </c>
      <c r="L1308" t="inlineStr">
        <is>
          <t>Q4</t>
        </is>
      </c>
      <c r="M1308" t="n">
        <v>2024</v>
      </c>
      <c r="N1308" s="22" t="n">
        <v>45597</v>
      </c>
      <c r="O1308" s="24" t="n">
        <v>0.9285503395335105</v>
      </c>
      <c r="P1308" s="23" t="n">
        <v>-50820</v>
      </c>
    </row>
    <row r="1309">
      <c r="A1309" t="inlineStr">
        <is>
          <t>Augmentin 1000 MG</t>
        </is>
      </c>
      <c r="B1309" t="inlineStr">
        <is>
          <t>Sharqia 1</t>
        </is>
      </c>
      <c r="C1309" s="22" t="n">
        <v>45627</v>
      </c>
      <c r="D1309" t="inlineStr">
        <is>
          <t>Sara Ibrahim</t>
        </is>
      </c>
      <c r="E1309" t="n">
        <v>210</v>
      </c>
      <c r="F1309" t="n">
        <v>2782</v>
      </c>
      <c r="G1309" t="n">
        <v>3199</v>
      </c>
      <c r="H1309" s="23" t="n">
        <v>584220</v>
      </c>
      <c r="I1309" s="23" t="n">
        <v>671790</v>
      </c>
      <c r="J1309" t="inlineStr">
        <is>
          <t>Dec</t>
        </is>
      </c>
      <c r="K1309" t="n">
        <v>12</v>
      </c>
      <c r="L1309" t="inlineStr">
        <is>
          <t>Q4</t>
        </is>
      </c>
      <c r="M1309" t="n">
        <v>2024</v>
      </c>
      <c r="N1309" s="22" t="n">
        <v>45627</v>
      </c>
      <c r="O1309" s="24" t="n">
        <v>0.8696467646139419</v>
      </c>
      <c r="P1309" s="23" t="n">
        <v>-87570</v>
      </c>
    </row>
    <row r="1310">
      <c r="A1310" t="inlineStr">
        <is>
          <t>Augmentin 1000 MG</t>
        </is>
      </c>
      <c r="B1310" t="inlineStr">
        <is>
          <t>Sharqia 2</t>
        </is>
      </c>
      <c r="C1310" s="22" t="n">
        <v>45292</v>
      </c>
      <c r="D1310" t="inlineStr">
        <is>
          <t>Youssef Farouk</t>
        </is>
      </c>
      <c r="E1310" t="n">
        <v>210</v>
      </c>
      <c r="F1310" t="n">
        <v>2732</v>
      </c>
      <c r="G1310" t="n">
        <v>3051</v>
      </c>
      <c r="H1310" s="23" t="n">
        <v>573720</v>
      </c>
      <c r="I1310" s="23" t="n">
        <v>640710</v>
      </c>
      <c r="J1310" t="inlineStr">
        <is>
          <t>Jan</t>
        </is>
      </c>
      <c r="K1310" t="n">
        <v>1</v>
      </c>
      <c r="L1310" t="inlineStr">
        <is>
          <t>Q1</t>
        </is>
      </c>
      <c r="M1310" t="n">
        <v>2024</v>
      </c>
      <c r="N1310" s="22" t="n">
        <v>45292</v>
      </c>
      <c r="O1310" s="24" t="n">
        <v>0.8954441166830548</v>
      </c>
      <c r="P1310" s="23" t="n">
        <v>-66990</v>
      </c>
    </row>
    <row r="1311">
      <c r="A1311" t="inlineStr">
        <is>
          <t>Augmentin 1000 MG</t>
        </is>
      </c>
      <c r="B1311" t="inlineStr">
        <is>
          <t>Sharqia 2</t>
        </is>
      </c>
      <c r="C1311" s="22" t="n">
        <v>45323</v>
      </c>
      <c r="D1311" t="inlineStr">
        <is>
          <t>Youssef Farouk</t>
        </is>
      </c>
      <c r="E1311" t="n">
        <v>210</v>
      </c>
      <c r="F1311" t="n">
        <v>3329</v>
      </c>
      <c r="G1311" t="n">
        <v>3340</v>
      </c>
      <c r="H1311" s="23" t="n">
        <v>699090</v>
      </c>
      <c r="I1311" s="23" t="n">
        <v>701400</v>
      </c>
      <c r="J1311" t="inlineStr">
        <is>
          <t>Feb</t>
        </is>
      </c>
      <c r="K1311" t="n">
        <v>2</v>
      </c>
      <c r="L1311" t="inlineStr">
        <is>
          <t>Q1</t>
        </is>
      </c>
      <c r="M1311" t="n">
        <v>2024</v>
      </c>
      <c r="N1311" s="22" t="n">
        <v>45323</v>
      </c>
      <c r="O1311" s="24" t="n">
        <v>0.9967065868263473</v>
      </c>
      <c r="P1311" s="23" t="n">
        <v>-2310</v>
      </c>
    </row>
    <row r="1312">
      <c r="A1312" t="inlineStr">
        <is>
          <t>Augmentin 1000 MG</t>
        </is>
      </c>
      <c r="B1312" t="inlineStr">
        <is>
          <t>Sharqia 2</t>
        </is>
      </c>
      <c r="C1312" s="22" t="n">
        <v>45352</v>
      </c>
      <c r="D1312" t="inlineStr">
        <is>
          <t>Youssef Farouk</t>
        </is>
      </c>
      <c r="E1312" t="n">
        <v>210</v>
      </c>
      <c r="F1312" t="n">
        <v>3748</v>
      </c>
      <c r="G1312" t="n">
        <v>3558</v>
      </c>
      <c r="H1312" s="23" t="n">
        <v>787080</v>
      </c>
      <c r="I1312" s="23" t="n">
        <v>747180</v>
      </c>
      <c r="J1312" t="inlineStr">
        <is>
          <t>Mar</t>
        </is>
      </c>
      <c r="K1312" t="n">
        <v>3</v>
      </c>
      <c r="L1312" t="inlineStr">
        <is>
          <t>Q1</t>
        </is>
      </c>
      <c r="M1312" t="n">
        <v>2024</v>
      </c>
      <c r="N1312" s="22" t="n">
        <v>45352</v>
      </c>
      <c r="O1312" s="24" t="n">
        <v>1.053400786958966</v>
      </c>
      <c r="P1312" s="23" t="n">
        <v>39900</v>
      </c>
    </row>
    <row r="1313">
      <c r="A1313" t="inlineStr">
        <is>
          <t>Augmentin 1000 MG</t>
        </is>
      </c>
      <c r="B1313" t="inlineStr">
        <is>
          <t>Sharqia 2</t>
        </is>
      </c>
      <c r="C1313" s="22" t="n">
        <v>45383</v>
      </c>
      <c r="D1313" t="inlineStr">
        <is>
          <t>Youssef Farouk</t>
        </is>
      </c>
      <c r="E1313" t="n">
        <v>210</v>
      </c>
      <c r="F1313" t="n">
        <v>2456</v>
      </c>
      <c r="G1313" t="n">
        <v>2314</v>
      </c>
      <c r="H1313" s="23" t="n">
        <v>515760</v>
      </c>
      <c r="I1313" s="23" t="n">
        <v>485940</v>
      </c>
      <c r="J1313" t="inlineStr">
        <is>
          <t>Apr</t>
        </is>
      </c>
      <c r="K1313" t="n">
        <v>4</v>
      </c>
      <c r="L1313" t="inlineStr">
        <is>
          <t>Q2</t>
        </is>
      </c>
      <c r="M1313" t="n">
        <v>2024</v>
      </c>
      <c r="N1313" s="22" t="n">
        <v>45383</v>
      </c>
      <c r="O1313" s="24" t="n">
        <v>1.061365600691443</v>
      </c>
      <c r="P1313" s="23" t="n">
        <v>29820</v>
      </c>
    </row>
    <row r="1314">
      <c r="A1314" t="inlineStr">
        <is>
          <t>Augmentin 1000 MG</t>
        </is>
      </c>
      <c r="B1314" t="inlineStr">
        <is>
          <t>Sharqia 2</t>
        </is>
      </c>
      <c r="C1314" s="22" t="n">
        <v>45413</v>
      </c>
      <c r="D1314" t="inlineStr">
        <is>
          <t>Youssef Farouk</t>
        </is>
      </c>
      <c r="E1314" t="n">
        <v>210</v>
      </c>
      <c r="F1314" t="n">
        <v>2541</v>
      </c>
      <c r="G1314" t="n">
        <v>2801</v>
      </c>
      <c r="H1314" s="23" t="n">
        <v>533610</v>
      </c>
      <c r="I1314" s="23" t="n">
        <v>588210</v>
      </c>
      <c r="J1314" t="inlineStr">
        <is>
          <t>May</t>
        </is>
      </c>
      <c r="K1314" t="n">
        <v>5</v>
      </c>
      <c r="L1314" t="inlineStr">
        <is>
          <t>Q2</t>
        </is>
      </c>
      <c r="M1314" t="n">
        <v>2024</v>
      </c>
      <c r="N1314" s="22" t="n">
        <v>45413</v>
      </c>
      <c r="O1314" s="24" t="n">
        <v>0.9071760085683684</v>
      </c>
      <c r="P1314" s="23" t="n">
        <v>-54600</v>
      </c>
    </row>
    <row r="1315">
      <c r="A1315" t="inlineStr">
        <is>
          <t>Augmentin 1000 MG</t>
        </is>
      </c>
      <c r="B1315" t="inlineStr">
        <is>
          <t>Sharqia 2</t>
        </is>
      </c>
      <c r="C1315" s="22" t="n">
        <v>45444</v>
      </c>
      <c r="D1315" t="inlineStr">
        <is>
          <t>Youssef Farouk</t>
        </is>
      </c>
      <c r="E1315" t="n">
        <v>210</v>
      </c>
      <c r="F1315" t="n">
        <v>3661</v>
      </c>
      <c r="G1315" t="n">
        <v>3581</v>
      </c>
      <c r="H1315" s="23" t="n">
        <v>768810</v>
      </c>
      <c r="I1315" s="23" t="n">
        <v>752010</v>
      </c>
      <c r="J1315" t="inlineStr">
        <is>
          <t>Jun</t>
        </is>
      </c>
      <c r="K1315" t="n">
        <v>6</v>
      </c>
      <c r="L1315" t="inlineStr">
        <is>
          <t>Q2</t>
        </is>
      </c>
      <c r="M1315" t="n">
        <v>2024</v>
      </c>
      <c r="N1315" s="22" t="n">
        <v>45444</v>
      </c>
      <c r="O1315" s="24" t="n">
        <v>1.022340128455739</v>
      </c>
      <c r="P1315" s="23" t="n">
        <v>16800</v>
      </c>
    </row>
    <row r="1316">
      <c r="A1316" t="inlineStr">
        <is>
          <t>Augmentin 1000 MG</t>
        </is>
      </c>
      <c r="B1316" t="inlineStr">
        <is>
          <t>Sharqia 2</t>
        </is>
      </c>
      <c r="C1316" s="22" t="n">
        <v>45474</v>
      </c>
      <c r="D1316" t="inlineStr">
        <is>
          <t>Youssef Farouk</t>
        </is>
      </c>
      <c r="E1316" t="n">
        <v>210</v>
      </c>
      <c r="F1316" t="n">
        <v>2854</v>
      </c>
      <c r="G1316" t="n">
        <v>3091</v>
      </c>
      <c r="H1316" s="23" t="n">
        <v>599340</v>
      </c>
      <c r="I1316" s="23" t="n">
        <v>649110</v>
      </c>
      <c r="J1316" t="inlineStr">
        <is>
          <t>Jul</t>
        </is>
      </c>
      <c r="K1316" t="n">
        <v>7</v>
      </c>
      <c r="L1316" t="inlineStr">
        <is>
          <t>Q3</t>
        </is>
      </c>
      <c r="M1316" t="n">
        <v>2024</v>
      </c>
      <c r="N1316" s="22" t="n">
        <v>45474</v>
      </c>
      <c r="O1316" s="24" t="n">
        <v>0.923325784535749</v>
      </c>
      <c r="P1316" s="23" t="n">
        <v>-49770</v>
      </c>
    </row>
    <row r="1317">
      <c r="A1317" t="inlineStr">
        <is>
          <t>Augmentin 1000 MG</t>
        </is>
      </c>
      <c r="B1317" t="inlineStr">
        <is>
          <t>Sharqia 2</t>
        </is>
      </c>
      <c r="C1317" s="22" t="n">
        <v>45505</v>
      </c>
      <c r="D1317" t="inlineStr">
        <is>
          <t>Youssef Farouk</t>
        </is>
      </c>
      <c r="E1317" t="n">
        <v>210</v>
      </c>
      <c r="F1317" t="n">
        <v>3796</v>
      </c>
      <c r="G1317" t="n">
        <v>3734</v>
      </c>
      <c r="H1317" s="23" t="n">
        <v>797160</v>
      </c>
      <c r="I1317" s="23" t="n">
        <v>784140</v>
      </c>
      <c r="J1317" t="inlineStr">
        <is>
          <t>Aug</t>
        </is>
      </c>
      <c r="K1317" t="n">
        <v>8</v>
      </c>
      <c r="L1317" t="inlineStr">
        <is>
          <t>Q3</t>
        </is>
      </c>
      <c r="M1317" t="n">
        <v>2024</v>
      </c>
      <c r="N1317" s="22" t="n">
        <v>45505</v>
      </c>
      <c r="O1317" s="24" t="n">
        <v>1.016604177825388</v>
      </c>
      <c r="P1317" s="23" t="n">
        <v>13020</v>
      </c>
    </row>
    <row r="1318">
      <c r="A1318" t="inlineStr">
        <is>
          <t>Augmentin 1000 MG</t>
        </is>
      </c>
      <c r="B1318" t="inlineStr">
        <is>
          <t>Sharqia 2</t>
        </is>
      </c>
      <c r="C1318" s="22" t="n">
        <v>45536</v>
      </c>
      <c r="D1318" t="inlineStr">
        <is>
          <t>Youssef Farouk</t>
        </is>
      </c>
      <c r="E1318" t="n">
        <v>210</v>
      </c>
      <c r="F1318" t="n">
        <v>2451</v>
      </c>
      <c r="G1318" t="n">
        <v>2415</v>
      </c>
      <c r="H1318" s="23" t="n">
        <v>514710</v>
      </c>
      <c r="I1318" s="23" t="n">
        <v>507150</v>
      </c>
      <c r="J1318" t="inlineStr">
        <is>
          <t>Sep</t>
        </is>
      </c>
      <c r="K1318" t="n">
        <v>9</v>
      </c>
      <c r="L1318" t="inlineStr">
        <is>
          <t>Q3</t>
        </is>
      </c>
      <c r="M1318" t="n">
        <v>2024</v>
      </c>
      <c r="N1318" s="22" t="n">
        <v>45536</v>
      </c>
      <c r="O1318" s="24" t="n">
        <v>1.014906832298137</v>
      </c>
      <c r="P1318" s="23" t="n">
        <v>7560</v>
      </c>
    </row>
    <row r="1319">
      <c r="A1319" t="inlineStr">
        <is>
          <t>Augmentin 1000 MG</t>
        </is>
      </c>
      <c r="B1319" t="inlineStr">
        <is>
          <t>Sharqia 2</t>
        </is>
      </c>
      <c r="C1319" s="22" t="n">
        <v>45566</v>
      </c>
      <c r="D1319" t="inlineStr">
        <is>
          <t>Youssef Farouk</t>
        </is>
      </c>
      <c r="E1319" t="n">
        <v>210</v>
      </c>
      <c r="F1319" t="n">
        <v>2332</v>
      </c>
      <c r="G1319" t="n">
        <v>2269</v>
      </c>
      <c r="H1319" s="23" t="n">
        <v>489720</v>
      </c>
      <c r="I1319" s="23" t="n">
        <v>476490</v>
      </c>
      <c r="J1319" t="inlineStr">
        <is>
          <t>Oct</t>
        </is>
      </c>
      <c r="K1319" t="n">
        <v>10</v>
      </c>
      <c r="L1319" t="inlineStr">
        <is>
          <t>Q4</t>
        </is>
      </c>
      <c r="M1319" t="n">
        <v>2024</v>
      </c>
      <c r="N1319" s="22" t="n">
        <v>45566</v>
      </c>
      <c r="O1319" s="24" t="n">
        <v>1.027765535478184</v>
      </c>
      <c r="P1319" s="23" t="n">
        <v>13230</v>
      </c>
    </row>
    <row r="1320">
      <c r="A1320" t="inlineStr">
        <is>
          <t>Augmentin 1000 MG</t>
        </is>
      </c>
      <c r="B1320" t="inlineStr">
        <is>
          <t>Sharqia 2</t>
        </is>
      </c>
      <c r="C1320" s="22" t="n">
        <v>45597</v>
      </c>
      <c r="D1320" t="inlineStr">
        <is>
          <t>Youssef Farouk</t>
        </is>
      </c>
      <c r="E1320" t="n">
        <v>210</v>
      </c>
      <c r="F1320" t="n">
        <v>3389</v>
      </c>
      <c r="G1320" t="n">
        <v>3151</v>
      </c>
      <c r="H1320" s="23" t="n">
        <v>711690</v>
      </c>
      <c r="I1320" s="23" t="n">
        <v>661710</v>
      </c>
      <c r="J1320" t="inlineStr">
        <is>
          <t>Nov</t>
        </is>
      </c>
      <c r="K1320" t="n">
        <v>11</v>
      </c>
      <c r="L1320" t="inlineStr">
        <is>
          <t>Q4</t>
        </is>
      </c>
      <c r="M1320" t="n">
        <v>2024</v>
      </c>
      <c r="N1320" s="22" t="n">
        <v>45597</v>
      </c>
      <c r="O1320" s="24" t="n">
        <v>1.075531577277055</v>
      </c>
      <c r="P1320" s="23" t="n">
        <v>49980</v>
      </c>
    </row>
    <row r="1321">
      <c r="A1321" t="inlineStr">
        <is>
          <t>Augmentin 1000 MG</t>
        </is>
      </c>
      <c r="B1321" t="inlineStr">
        <is>
          <t>Sharqia 2</t>
        </is>
      </c>
      <c r="C1321" s="22" t="n">
        <v>45627</v>
      </c>
      <c r="D1321" t="inlineStr">
        <is>
          <t>Youssef Farouk</t>
        </is>
      </c>
      <c r="E1321" t="n">
        <v>210</v>
      </c>
      <c r="F1321" t="n">
        <v>3264</v>
      </c>
      <c r="G1321" t="n">
        <v>3700</v>
      </c>
      <c r="H1321" s="23" t="n">
        <v>685440</v>
      </c>
      <c r="I1321" s="23" t="n">
        <v>777000</v>
      </c>
      <c r="J1321" t="inlineStr">
        <is>
          <t>Dec</t>
        </is>
      </c>
      <c r="K1321" t="n">
        <v>12</v>
      </c>
      <c r="L1321" t="inlineStr">
        <is>
          <t>Q4</t>
        </is>
      </c>
      <c r="M1321" t="n">
        <v>2024</v>
      </c>
      <c r="N1321" s="22" t="n">
        <v>45627</v>
      </c>
      <c r="O1321" s="24" t="n">
        <v>0.8821621621621621</v>
      </c>
      <c r="P1321" s="23" t="n">
        <v>-91560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5" t="inlineStr">
        <is>
          <t>Product Criteria</t>
        </is>
      </c>
      <c r="B1" s="25" t="inlineStr">
        <is>
          <t>Region Criteria</t>
        </is>
      </c>
      <c r="C1" s="25" t="inlineStr">
        <is>
          <t>Rep Criteria</t>
        </is>
      </c>
      <c r="D1" s="25" t="inlineStr">
        <is>
          <t>Month Criteria</t>
        </is>
      </c>
      <c r="E1" s="25" t="inlineStr">
        <is>
          <t>Quarter Criteria</t>
        </is>
      </c>
      <c r="F1" s="25" t="inlineStr">
        <is>
          <t>Year Criteria</t>
        </is>
      </c>
      <c r="H1" t="inlineStr">
        <is>
          <t>Filtered Total Sales Value</t>
        </is>
      </c>
    </row>
    <row r="2">
      <c r="A2" s="25">
        <f>IF(Dashboard!$C$5="All","*",Dashboard!$C$5)</f>
        <v/>
      </c>
      <c r="B2" s="25">
        <f>IF(Dashboard!$E$5="All","*",Dashboard!$E$5)</f>
        <v/>
      </c>
      <c r="C2" s="25">
        <f>IF(Dashboard!$G$5="All","*",Dashboard!$G$5)</f>
        <v/>
      </c>
      <c r="D2" s="25">
        <f>IF(Dashboard!$I$5="All","*",Dashboard!$I$5)</f>
        <v/>
      </c>
      <c r="E2" s="25">
        <f>IF(Dashboard!$K$5="All","*",Dashboard!$K$5)</f>
        <v/>
      </c>
      <c r="F2" s="25">
        <f>IF(Dashboard!$M$5="All","&gt;0",Dashboard!$M$5)</f>
        <v/>
      </c>
    </row>
    <row r="3"/>
    <row r="4">
      <c r="A4" s="25" t="inlineStr">
        <is>
          <t>Total Sales Units</t>
        </is>
      </c>
      <c r="B4" s="25">
        <f>SUMIFS(salesData[Sales_Units],salesData[Product Name],$A$2,salesData[Region],$B$2,salesData[Medical Rep],$C$2,salesData[Month],$D$2,salesData[Quarter],$E$2,salesData[Year],$F$2)</f>
        <v/>
      </c>
      <c r="I4" t="inlineStr">
        <is>
          <t>Best Region</t>
        </is>
      </c>
      <c r="J4">
        <f>INDEX(A50:A59,MATCH(MAX(D50:D59),D50:D59,0))</f>
        <v/>
      </c>
    </row>
    <row r="5">
      <c r="A5" s="25" t="inlineStr">
        <is>
          <t>Total Sales Value</t>
        </is>
      </c>
      <c r="B5" s="25">
        <f>SUMIFS(salesData[Sales Value],salesData[Product Name],$A$2,salesData[Region],$B$2,salesData[Medical Rep],$C$2,salesData[Month],$D$2,salesData[Quarter],$E$2,salesData[Year],$F$2)</f>
        <v/>
      </c>
      <c r="I5" t="inlineStr">
        <is>
          <t>Lowest Region</t>
        </is>
      </c>
      <c r="J5">
        <f>INDEX(A50:A59,MATCH(MIN(D50:D59),D50:D59,0))</f>
        <v/>
      </c>
    </row>
    <row r="6">
      <c r="A6" s="25" t="inlineStr">
        <is>
          <t>Total Target Units</t>
        </is>
      </c>
      <c r="B6" s="25">
        <f>SUMIFS(salesData[Target_Units],salesData[Product Name],$A$2,salesData[Region],$B$2,salesData[Medical Rep],$C$2,salesData[Month],$D$2,salesData[Quarter],$E$2,salesData[Year],$F$2)</f>
        <v/>
      </c>
      <c r="I6" t="inlineStr">
        <is>
          <t>Top Product</t>
        </is>
      </c>
      <c r="J6">
        <f>INDEX(A34:A43,MATCH(MAX(B34:B43),B34:B43,0))</f>
        <v/>
      </c>
    </row>
    <row r="7">
      <c r="A7" s="25" t="inlineStr">
        <is>
          <t>Total Target Value</t>
        </is>
      </c>
      <c r="B7" s="25">
        <f>SUMIFS(salesData[Target Value],salesData[Product Name],$A$2,salesData[Region],$B$2,salesData[Medical Rep],$C$2,salesData[Month],$D$2,salesData[Quarter],$E$2,salesData[Year],$F$2)</f>
        <v/>
      </c>
      <c r="I7" t="inlineStr">
        <is>
          <t>Top Rep</t>
        </is>
      </c>
      <c r="J7">
        <f>INDEX(A66:A75,MATCH(MAX(B66:B75),B66:B75,0))</f>
        <v/>
      </c>
    </row>
    <row r="8">
      <c r="A8" s="25" t="inlineStr">
        <is>
          <t>Achievement %</t>
        </is>
      </c>
      <c r="B8" s="25">
        <f>IFERROR(B5/B7,0)</f>
        <v/>
      </c>
      <c r="I8" t="inlineStr">
        <is>
          <t>Largest Target Gap</t>
        </is>
      </c>
      <c r="J8">
        <f>INDEX(A34:A43,MATCH(MIN(E34:E43),E34:E43,0))</f>
        <v/>
      </c>
    </row>
    <row r="9">
      <c r="A9" s="25" t="inlineStr">
        <is>
          <t>Variance vs Target</t>
        </is>
      </c>
      <c r="B9" s="25">
        <f>B5-B7</f>
        <v/>
      </c>
      <c r="I9" t="inlineStr">
        <is>
          <t>Strongest Month</t>
        </is>
      </c>
      <c r="J9">
        <f>INDEX(B17:B28,MATCH(MAX(C17:C28),C17:C28,0))</f>
        <v/>
      </c>
    </row>
    <row r="10">
      <c r="A10" s="25" t="inlineStr">
        <is>
          <t>Number of Products</t>
        </is>
      </c>
      <c r="B10" s="25">
        <f>COUNTA(UNIQUE(FILTER(salesData[Product Name],(salesData[Product Name]&lt;&gt;"")*(IF($A$2="*",1,salesData[Product Name]=$A$2))*(IF($B$2="*",1,salesData[Region]=$B$2))*(IF($C$2="*",1,salesData[Medical Rep]=$C$2))*(IF($D$2="*",1,salesData[Month]=$D$2))*(IF($E$2="*",1,salesData[Quarter]=$E$2))*(IF($F$2="&gt;0",1,salesData[Year]=$F$2)))))</f>
        <v/>
      </c>
    </row>
    <row r="11">
      <c r="A11" s="25" t="inlineStr">
        <is>
          <t>Number of Medical Reps</t>
        </is>
      </c>
      <c r="B11" s="25">
        <f>COUNTA(UNIQUE(FILTER(salesData[Medical Rep],(salesData[Medical Rep]&lt;&gt;"")*(IF($A$2="*",1,salesData[Product Name]=$A$2))*(IF($B$2="*",1,salesData[Region]=$B$2))*(IF($C$2="*",1,salesData[Medical Rep]=$C$2))*(IF($D$2="*",1,salesData[Month]=$D$2))*(IF($E$2="*",1,salesData[Quarter]=$E$2))*(IF($F$2="&gt;0",1,salesData[Year]=$F$2)))))</f>
        <v/>
      </c>
    </row>
    <row r="12">
      <c r="A12" s="25" t="inlineStr">
        <is>
          <t>Average Sales per Rep</t>
        </is>
      </c>
      <c r="B12" s="25">
        <f>IFERROR(B5/B11,0)</f>
        <v/>
      </c>
    </row>
    <row r="13"/>
    <row r="14"/>
    <row r="15"/>
    <row r="16">
      <c r="A16" s="21" t="inlineStr">
        <is>
          <t>Month Date</t>
        </is>
      </c>
      <c r="B16" s="21" t="inlineStr">
        <is>
          <t>Month</t>
        </is>
      </c>
      <c r="C16" s="21" t="inlineStr">
        <is>
          <t>Sales Value</t>
        </is>
      </c>
      <c r="D16" s="21" t="inlineStr">
        <is>
          <t>Target Value</t>
        </is>
      </c>
      <c r="E16" s="21" t="inlineStr">
        <is>
          <t>Achievement %</t>
        </is>
      </c>
      <c r="F16" s="21" t="inlineStr">
        <is>
          <t>MoM Growth %</t>
        </is>
      </c>
      <c r="G16" s="21" t="n"/>
    </row>
    <row r="17">
      <c r="A17" s="26" t="n">
        <v>45292</v>
      </c>
      <c r="B17" s="27" t="inlineStr">
        <is>
          <t>Jan</t>
        </is>
      </c>
      <c r="C17" s="27">
        <f>SUMIFS(salesData[Sales Value],salesData[Month Date],A17,salesData[Product Name],$A$2,salesData[Region],$B$2,salesData[Medical Rep],$C$2,salesData[Month],$D$2,salesData[Quarter],$E$2,salesData[Year],$F$2)</f>
        <v/>
      </c>
      <c r="D17" s="28">
        <f>SUMIFS(salesData[Target Value],salesData[Month Date],A17,salesData[Product Name],$A$2,salesData[Region],$B$2,salesData[Medical Rep],$C$2,salesData[Month],$D$2,salesData[Quarter],$E$2,salesData[Year],$F$2)</f>
        <v/>
      </c>
      <c r="E17" s="27">
        <f>IFERROR(C17/D17,0)</f>
        <v/>
      </c>
      <c r="F17" s="28">
        <f>NA()</f>
        <v/>
      </c>
    </row>
    <row r="18">
      <c r="A18" s="26" t="n">
        <v>45323</v>
      </c>
      <c r="B18" s="27" t="inlineStr">
        <is>
          <t>Feb</t>
        </is>
      </c>
      <c r="C18" s="27">
        <f>SUMIFS(salesData[Sales Value],salesData[Month Date],A18,salesData[Product Name],$A$2,salesData[Region],$B$2,salesData[Medical Rep],$C$2,salesData[Month],$D$2,salesData[Quarter],$E$2,salesData[Year],$F$2)</f>
        <v/>
      </c>
      <c r="D18" s="28">
        <f>SUMIFS(salesData[Target Value],salesData[Month Date],A18,salesData[Product Name],$A$2,salesData[Region],$B$2,salesData[Medical Rep],$C$2,salesData[Month],$D$2,salesData[Quarter],$E$2,salesData[Year],$F$2)</f>
        <v/>
      </c>
      <c r="E18" s="27">
        <f>IFERROR(C18/D18,0)</f>
        <v/>
      </c>
      <c r="F18" s="28">
        <f>IFERROR((C18-C17)/C17,0)</f>
        <v/>
      </c>
    </row>
    <row r="19">
      <c r="A19" s="26" t="n">
        <v>45352</v>
      </c>
      <c r="B19" s="27" t="inlineStr">
        <is>
          <t>Mar</t>
        </is>
      </c>
      <c r="C19" s="27">
        <f>SUMIFS(salesData[Sales Value],salesData[Month Date],A19,salesData[Product Name],$A$2,salesData[Region],$B$2,salesData[Medical Rep],$C$2,salesData[Month],$D$2,salesData[Quarter],$E$2,salesData[Year],$F$2)</f>
        <v/>
      </c>
      <c r="D19" s="28">
        <f>SUMIFS(salesData[Target Value],salesData[Month Date],A19,salesData[Product Name],$A$2,salesData[Region],$B$2,salesData[Medical Rep],$C$2,salesData[Month],$D$2,salesData[Quarter],$E$2,salesData[Year],$F$2)</f>
        <v/>
      </c>
      <c r="E19" s="27">
        <f>IFERROR(C19/D19,0)</f>
        <v/>
      </c>
      <c r="F19" s="28">
        <f>IFERROR((C19-C18)/C18,0)</f>
        <v/>
      </c>
    </row>
    <row r="20">
      <c r="A20" s="26" t="n">
        <v>45383</v>
      </c>
      <c r="B20" s="27" t="inlineStr">
        <is>
          <t>Apr</t>
        </is>
      </c>
      <c r="C20" s="27">
        <f>SUMIFS(salesData[Sales Value],salesData[Month Date],A20,salesData[Product Name],$A$2,salesData[Region],$B$2,salesData[Medical Rep],$C$2,salesData[Month],$D$2,salesData[Quarter],$E$2,salesData[Year],$F$2)</f>
        <v/>
      </c>
      <c r="D20" s="28">
        <f>SUMIFS(salesData[Target Value],salesData[Month Date],A20,salesData[Product Name],$A$2,salesData[Region],$B$2,salesData[Medical Rep],$C$2,salesData[Month],$D$2,salesData[Quarter],$E$2,salesData[Year],$F$2)</f>
        <v/>
      </c>
      <c r="E20" s="27">
        <f>IFERROR(C20/D20,0)</f>
        <v/>
      </c>
      <c r="F20" s="28">
        <f>IFERROR((C20-C19)/C19,0)</f>
        <v/>
      </c>
    </row>
    <row r="21">
      <c r="A21" s="26" t="n">
        <v>45413</v>
      </c>
      <c r="B21" s="27" t="inlineStr">
        <is>
          <t>May</t>
        </is>
      </c>
      <c r="C21" s="27">
        <f>SUMIFS(salesData[Sales Value],salesData[Month Date],A21,salesData[Product Name],$A$2,salesData[Region],$B$2,salesData[Medical Rep],$C$2,salesData[Month],$D$2,salesData[Quarter],$E$2,salesData[Year],$F$2)</f>
        <v/>
      </c>
      <c r="D21" s="28">
        <f>SUMIFS(salesData[Target Value],salesData[Month Date],A21,salesData[Product Name],$A$2,salesData[Region],$B$2,salesData[Medical Rep],$C$2,salesData[Month],$D$2,salesData[Quarter],$E$2,salesData[Year],$F$2)</f>
        <v/>
      </c>
      <c r="E21" s="27">
        <f>IFERROR(C21/D21,0)</f>
        <v/>
      </c>
      <c r="F21" s="28">
        <f>IFERROR((C21-C20)/C20,0)</f>
        <v/>
      </c>
    </row>
    <row r="22">
      <c r="A22" s="26" t="n">
        <v>45444</v>
      </c>
      <c r="B22" s="27" t="inlineStr">
        <is>
          <t>Jun</t>
        </is>
      </c>
      <c r="C22" s="27">
        <f>SUMIFS(salesData[Sales Value],salesData[Month Date],A22,salesData[Product Name],$A$2,salesData[Region],$B$2,salesData[Medical Rep],$C$2,salesData[Month],$D$2,salesData[Quarter],$E$2,salesData[Year],$F$2)</f>
        <v/>
      </c>
      <c r="D22" s="28">
        <f>SUMIFS(salesData[Target Value],salesData[Month Date],A22,salesData[Product Name],$A$2,salesData[Region],$B$2,salesData[Medical Rep],$C$2,salesData[Month],$D$2,salesData[Quarter],$E$2,salesData[Year],$F$2)</f>
        <v/>
      </c>
      <c r="E22" s="27">
        <f>IFERROR(C22/D22,0)</f>
        <v/>
      </c>
      <c r="F22" s="28">
        <f>IFERROR((C22-C21)/C21,0)</f>
        <v/>
      </c>
    </row>
    <row r="23">
      <c r="A23" s="26" t="n">
        <v>45474</v>
      </c>
      <c r="B23" s="27" t="inlineStr">
        <is>
          <t>Jul</t>
        </is>
      </c>
      <c r="C23" s="27">
        <f>SUMIFS(salesData[Sales Value],salesData[Month Date],A23,salesData[Product Name],$A$2,salesData[Region],$B$2,salesData[Medical Rep],$C$2,salesData[Month],$D$2,salesData[Quarter],$E$2,salesData[Year],$F$2)</f>
        <v/>
      </c>
      <c r="D23" s="28">
        <f>SUMIFS(salesData[Target Value],salesData[Month Date],A23,salesData[Product Name],$A$2,salesData[Region],$B$2,salesData[Medical Rep],$C$2,salesData[Month],$D$2,salesData[Quarter],$E$2,salesData[Year],$F$2)</f>
        <v/>
      </c>
      <c r="E23" s="27">
        <f>IFERROR(C23/D23,0)</f>
        <v/>
      </c>
      <c r="F23" s="28">
        <f>IFERROR((C23-C22)/C22,0)</f>
        <v/>
      </c>
    </row>
    <row r="24">
      <c r="A24" s="26" t="n">
        <v>45505</v>
      </c>
      <c r="B24" s="27" t="inlineStr">
        <is>
          <t>Aug</t>
        </is>
      </c>
      <c r="C24" s="27">
        <f>SUMIFS(salesData[Sales Value],salesData[Month Date],A24,salesData[Product Name],$A$2,salesData[Region],$B$2,salesData[Medical Rep],$C$2,salesData[Month],$D$2,salesData[Quarter],$E$2,salesData[Year],$F$2)</f>
        <v/>
      </c>
      <c r="D24" s="28">
        <f>SUMIFS(salesData[Target Value],salesData[Month Date],A24,salesData[Product Name],$A$2,salesData[Region],$B$2,salesData[Medical Rep],$C$2,salesData[Month],$D$2,salesData[Quarter],$E$2,salesData[Year],$F$2)</f>
        <v/>
      </c>
      <c r="E24" s="27">
        <f>IFERROR(C24/D24,0)</f>
        <v/>
      </c>
      <c r="F24" s="28">
        <f>IFERROR((C24-C23)/C23,0)</f>
        <v/>
      </c>
    </row>
    <row r="25">
      <c r="A25" s="26" t="n">
        <v>45536</v>
      </c>
      <c r="B25" s="27" t="inlineStr">
        <is>
          <t>Sep</t>
        </is>
      </c>
      <c r="C25" s="27">
        <f>SUMIFS(salesData[Sales Value],salesData[Month Date],A25,salesData[Product Name],$A$2,salesData[Region],$B$2,salesData[Medical Rep],$C$2,salesData[Month],$D$2,salesData[Quarter],$E$2,salesData[Year],$F$2)</f>
        <v/>
      </c>
      <c r="D25" s="28">
        <f>SUMIFS(salesData[Target Value],salesData[Month Date],A25,salesData[Product Name],$A$2,salesData[Region],$B$2,salesData[Medical Rep],$C$2,salesData[Month],$D$2,salesData[Quarter],$E$2,salesData[Year],$F$2)</f>
        <v/>
      </c>
      <c r="E25" s="27">
        <f>IFERROR(C25/D25,0)</f>
        <v/>
      </c>
      <c r="F25" s="28">
        <f>IFERROR((C25-C24)/C24,0)</f>
        <v/>
      </c>
    </row>
    <row r="26">
      <c r="A26" s="26" t="n">
        <v>45566</v>
      </c>
      <c r="B26" s="27" t="inlineStr">
        <is>
          <t>Oct</t>
        </is>
      </c>
      <c r="C26" s="27">
        <f>SUMIFS(salesData[Sales Value],salesData[Month Date],A26,salesData[Product Name],$A$2,salesData[Region],$B$2,salesData[Medical Rep],$C$2,salesData[Month],$D$2,salesData[Quarter],$E$2,salesData[Year],$F$2)</f>
        <v/>
      </c>
      <c r="D26" s="28">
        <f>SUMIFS(salesData[Target Value],salesData[Month Date],A26,salesData[Product Name],$A$2,salesData[Region],$B$2,salesData[Medical Rep],$C$2,salesData[Month],$D$2,salesData[Quarter],$E$2,salesData[Year],$F$2)</f>
        <v/>
      </c>
      <c r="E26" s="27">
        <f>IFERROR(C26/D26,0)</f>
        <v/>
      </c>
      <c r="F26" s="28">
        <f>IFERROR((C26-C25)/C25,0)</f>
        <v/>
      </c>
    </row>
    <row r="27">
      <c r="A27" s="26" t="n">
        <v>45597</v>
      </c>
      <c r="B27" s="27" t="inlineStr">
        <is>
          <t>Nov</t>
        </is>
      </c>
      <c r="C27" s="27">
        <f>SUMIFS(salesData[Sales Value],salesData[Month Date],A27,salesData[Product Name],$A$2,salesData[Region],$B$2,salesData[Medical Rep],$C$2,salesData[Month],$D$2,salesData[Quarter],$E$2,salesData[Year],$F$2)</f>
        <v/>
      </c>
      <c r="D27" s="28">
        <f>SUMIFS(salesData[Target Value],salesData[Month Date],A27,salesData[Product Name],$A$2,salesData[Region],$B$2,salesData[Medical Rep],$C$2,salesData[Month],$D$2,salesData[Quarter],$E$2,salesData[Year],$F$2)</f>
        <v/>
      </c>
      <c r="E27" s="27">
        <f>IFERROR(C27/D27,0)</f>
        <v/>
      </c>
      <c r="F27" s="28">
        <f>IFERROR((C27-C26)/C26,0)</f>
        <v/>
      </c>
    </row>
    <row r="28">
      <c r="A28" s="26" t="n">
        <v>45627</v>
      </c>
      <c r="B28" s="27" t="inlineStr">
        <is>
          <t>Dec</t>
        </is>
      </c>
      <c r="C28" s="27">
        <f>SUMIFS(salesData[Sales Value],salesData[Month Date],A28,salesData[Product Name],$A$2,salesData[Region],$B$2,salesData[Medical Rep],$C$2,salesData[Month],$D$2,salesData[Quarter],$E$2,salesData[Year],$F$2)</f>
        <v/>
      </c>
      <c r="D28" s="28">
        <f>SUMIFS(salesData[Target Value],salesData[Month Date],A28,salesData[Product Name],$A$2,salesData[Region],$B$2,salesData[Medical Rep],$C$2,salesData[Month],$D$2,salesData[Quarter],$E$2,salesData[Year],$F$2)</f>
        <v/>
      </c>
      <c r="E28" s="27">
        <f>IFERROR(C28/D28,0)</f>
        <v/>
      </c>
      <c r="F28" s="28">
        <f>IFERROR((C28-C27)/C27,0)</f>
        <v/>
      </c>
    </row>
    <row r="29"/>
    <row r="30"/>
    <row r="31"/>
    <row r="32">
      <c r="A32" s="25" t="inlineStr">
        <is>
          <t>Product Performance</t>
        </is>
      </c>
    </row>
    <row r="33">
      <c r="A33" s="21" t="inlineStr">
        <is>
          <t>Name</t>
        </is>
      </c>
      <c r="B33" s="21" t="inlineStr">
        <is>
          <t>Sales Value</t>
        </is>
      </c>
      <c r="C33" s="21" t="inlineStr">
        <is>
          <t>Target Value</t>
        </is>
      </c>
      <c r="D33" s="21" t="inlineStr">
        <is>
          <t>Achievement %</t>
        </is>
      </c>
      <c r="E33" s="21" t="inlineStr">
        <is>
          <t>Variance</t>
        </is>
      </c>
      <c r="F33" s="21" t="inlineStr">
        <is>
          <t>Contribution %</t>
        </is>
      </c>
      <c r="G33" s="21" t="inlineStr">
        <is>
          <t>Rank</t>
        </is>
      </c>
    </row>
    <row r="34">
      <c r="A34" s="25" t="inlineStr">
        <is>
          <t>Augmentin 1000 MG</t>
        </is>
      </c>
      <c r="B34" s="27">
        <f>SUMIFS(salesData[Sales Value],salesData[Product Name],A34,salesData[Product Name],$A$2,salesData[Region],$B$2,salesData[Medical Rep],$C$2,salesData[Month],$D$2,salesData[Quarter],$E$2,salesData[Year],$F$2)</f>
        <v/>
      </c>
      <c r="C34" s="27">
        <f>SUMIFS(salesData[Target Value],salesData[Product Name],A34,salesData[Product Name],$A$2,salesData[Region],$B$2,salesData[Medical Rep],$C$2,salesData[Month],$D$2,salesData[Quarter],$E$2,salesData[Year],$F$2)</f>
        <v/>
      </c>
      <c r="D34" s="28">
        <f>IFERROR(B34/C34,0)</f>
        <v/>
      </c>
      <c r="E34" s="27">
        <f>B34-C34</f>
        <v/>
      </c>
      <c r="F34" s="28">
        <f>IFERROR(B34/$B$5,0)</f>
        <v/>
      </c>
      <c r="G34" s="25">
        <f>RANK.EQ(B34,B$34:B$43,0)</f>
        <v/>
      </c>
    </row>
    <row r="35">
      <c r="A35" s="25" t="inlineStr">
        <is>
          <t>Glucophage 1000 MG</t>
        </is>
      </c>
      <c r="B35" s="27">
        <f>SUMIFS(salesData[Sales Value],salesData[Product Name],A35,salesData[Product Name],$A$2,salesData[Region],$B$2,salesData[Medical Rep],$C$2,salesData[Month],$D$2,salesData[Quarter],$E$2,salesData[Year],$F$2)</f>
        <v/>
      </c>
      <c r="C35" s="27">
        <f>SUMIFS(salesData[Target Value],salesData[Product Name],A35,salesData[Product Name],$A$2,salesData[Region],$B$2,salesData[Medical Rep],$C$2,salesData[Month],$D$2,salesData[Quarter],$E$2,salesData[Year],$F$2)</f>
        <v/>
      </c>
      <c r="D35" s="28">
        <f>IFERROR(B35/C35,0)</f>
        <v/>
      </c>
      <c r="E35" s="27">
        <f>B35-C35</f>
        <v/>
      </c>
      <c r="F35" s="28">
        <f>IFERROR(B35/$B$5,0)</f>
        <v/>
      </c>
      <c r="G35" s="25">
        <f>RANK.EQ(B35,B$34:B$43,0)</f>
        <v/>
      </c>
    </row>
    <row r="36">
      <c r="A36" s="25" t="inlineStr">
        <is>
          <t>Augmentin 625 MG</t>
        </is>
      </c>
      <c r="B36" s="27">
        <f>SUMIFS(salesData[Sales Value],salesData[Product Name],A36,salesData[Product Name],$A$2,salesData[Region],$B$2,salesData[Medical Rep],$C$2,salesData[Month],$D$2,salesData[Quarter],$E$2,salesData[Year],$F$2)</f>
        <v/>
      </c>
      <c r="C36" s="27">
        <f>SUMIFS(salesData[Target Value],salesData[Product Name],A36,salesData[Product Name],$A$2,salesData[Region],$B$2,salesData[Medical Rep],$C$2,salesData[Month],$D$2,salesData[Quarter],$E$2,salesData[Year],$F$2)</f>
        <v/>
      </c>
      <c r="D36" s="28">
        <f>IFERROR(B36/C36,0)</f>
        <v/>
      </c>
      <c r="E36" s="27">
        <f>B36-C36</f>
        <v/>
      </c>
      <c r="F36" s="28">
        <f>IFERROR(B36/$B$5,0)</f>
        <v/>
      </c>
      <c r="G36" s="25">
        <f>RANK.EQ(B36,B$34:B$43,0)</f>
        <v/>
      </c>
    </row>
    <row r="37">
      <c r="A37" s="25" t="inlineStr">
        <is>
          <t>Concor 10 MG</t>
        </is>
      </c>
      <c r="B37" s="27">
        <f>SUMIFS(salesData[Sales Value],salesData[Product Name],A37,salesData[Product Name],$A$2,salesData[Region],$B$2,salesData[Medical Rep],$C$2,salesData[Month],$D$2,salesData[Quarter],$E$2,salesData[Year],$F$2)</f>
        <v/>
      </c>
      <c r="C37" s="27">
        <f>SUMIFS(salesData[Target Value],salesData[Product Name],A37,salesData[Product Name],$A$2,salesData[Region],$B$2,salesData[Medical Rep],$C$2,salesData[Month],$D$2,salesData[Quarter],$E$2,salesData[Year],$F$2)</f>
        <v/>
      </c>
      <c r="D37" s="28">
        <f>IFERROR(B37/C37,0)</f>
        <v/>
      </c>
      <c r="E37" s="27">
        <f>B37-C37</f>
        <v/>
      </c>
      <c r="F37" s="28">
        <f>IFERROR(B37/$B$5,0)</f>
        <v/>
      </c>
      <c r="G37" s="25">
        <f>RANK.EQ(B37,B$34:B$43,0)</f>
        <v/>
      </c>
    </row>
    <row r="38">
      <c r="A38" s="25" t="inlineStr">
        <is>
          <t>Cataflam 50 MG</t>
        </is>
      </c>
      <c r="B38" s="27">
        <f>SUMIFS(salesData[Sales Value],salesData[Product Name],A38,salesData[Product Name],$A$2,salesData[Region],$B$2,salesData[Medical Rep],$C$2,salesData[Month],$D$2,salesData[Quarter],$E$2,salesData[Year],$F$2)</f>
        <v/>
      </c>
      <c r="C38" s="27">
        <f>SUMIFS(salesData[Target Value],salesData[Product Name],A38,salesData[Product Name],$A$2,salesData[Region],$B$2,salesData[Medical Rep],$C$2,salesData[Month],$D$2,salesData[Quarter],$E$2,salesData[Year],$F$2)</f>
        <v/>
      </c>
      <c r="D38" s="28">
        <f>IFERROR(B38/C38,0)</f>
        <v/>
      </c>
      <c r="E38" s="27">
        <f>B38-C38</f>
        <v/>
      </c>
      <c r="F38" s="28">
        <f>IFERROR(B38/$B$5,0)</f>
        <v/>
      </c>
      <c r="G38" s="25">
        <f>RANK.EQ(B38,B$34:B$43,0)</f>
        <v/>
      </c>
    </row>
    <row r="39">
      <c r="A39" s="25" t="inlineStr">
        <is>
          <t>Panadol 500 MG</t>
        </is>
      </c>
      <c r="B39" s="27">
        <f>SUMIFS(salesData[Sales Value],salesData[Product Name],A39,salesData[Product Name],$A$2,salesData[Region],$B$2,salesData[Medical Rep],$C$2,salesData[Month],$D$2,salesData[Quarter],$E$2,salesData[Year],$F$2)</f>
        <v/>
      </c>
      <c r="C39" s="27">
        <f>SUMIFS(salesData[Target Value],salesData[Product Name],A39,salesData[Product Name],$A$2,salesData[Region],$B$2,salesData[Medical Rep],$C$2,salesData[Month],$D$2,salesData[Quarter],$E$2,salesData[Year],$F$2)</f>
        <v/>
      </c>
      <c r="D39" s="28">
        <f>IFERROR(B39/C39,0)</f>
        <v/>
      </c>
      <c r="E39" s="27">
        <f>B39-C39</f>
        <v/>
      </c>
      <c r="F39" s="28">
        <f>IFERROR(B39/$B$5,0)</f>
        <v/>
      </c>
      <c r="G39" s="25">
        <f>RANK.EQ(B39,B$34:B$43,0)</f>
        <v/>
      </c>
    </row>
    <row r="40">
      <c r="A40" s="25" t="inlineStr">
        <is>
          <t>Glucophage 500 MG</t>
        </is>
      </c>
      <c r="B40" s="27">
        <f>SUMIFS(salesData[Sales Value],salesData[Product Name],A40,salesData[Product Name],$A$2,salesData[Region],$B$2,salesData[Medical Rep],$C$2,salesData[Month],$D$2,salesData[Quarter],$E$2,salesData[Year],$F$2)</f>
        <v/>
      </c>
      <c r="C40" s="27">
        <f>SUMIFS(salesData[Target Value],salesData[Product Name],A40,salesData[Product Name],$A$2,salesData[Region],$B$2,salesData[Medical Rep],$C$2,salesData[Month],$D$2,salesData[Quarter],$E$2,salesData[Year],$F$2)</f>
        <v/>
      </c>
      <c r="D40" s="28">
        <f>IFERROR(B40/C40,0)</f>
        <v/>
      </c>
      <c r="E40" s="27">
        <f>B40-C40</f>
        <v/>
      </c>
      <c r="F40" s="28">
        <f>IFERROR(B40/$B$5,0)</f>
        <v/>
      </c>
      <c r="G40" s="25">
        <f>RANK.EQ(B40,B$34:B$43,0)</f>
        <v/>
      </c>
    </row>
    <row r="41">
      <c r="A41" s="25" t="inlineStr">
        <is>
          <t>Concor 5 MG</t>
        </is>
      </c>
      <c r="B41" s="27">
        <f>SUMIFS(salesData[Sales Value],salesData[Product Name],A41,salesData[Product Name],$A$2,salesData[Region],$B$2,salesData[Medical Rep],$C$2,salesData[Month],$D$2,salesData[Quarter],$E$2,salesData[Year],$F$2)</f>
        <v/>
      </c>
      <c r="C41" s="27">
        <f>SUMIFS(salesData[Target Value],salesData[Product Name],A41,salesData[Product Name],$A$2,salesData[Region],$B$2,salesData[Medical Rep],$C$2,salesData[Month],$D$2,salesData[Quarter],$E$2,salesData[Year],$F$2)</f>
        <v/>
      </c>
      <c r="D41" s="28">
        <f>IFERROR(B41/C41,0)</f>
        <v/>
      </c>
      <c r="E41" s="27">
        <f>B41-C41</f>
        <v/>
      </c>
      <c r="F41" s="28">
        <f>IFERROR(B41/$B$5,0)</f>
        <v/>
      </c>
      <c r="G41" s="25">
        <f>RANK.EQ(B41,B$34:B$43,0)</f>
        <v/>
      </c>
    </row>
    <row r="42">
      <c r="A42" s="25" t="inlineStr">
        <is>
          <t>Panadol 250 MG</t>
        </is>
      </c>
      <c r="B42" s="27">
        <f>SUMIFS(salesData[Sales Value],salesData[Product Name],A42,salesData[Product Name],$A$2,salesData[Region],$B$2,salesData[Medical Rep],$C$2,salesData[Month],$D$2,salesData[Quarter],$E$2,salesData[Year],$F$2)</f>
        <v/>
      </c>
      <c r="C42" s="27">
        <f>SUMIFS(salesData[Target Value],salesData[Product Name],A42,salesData[Product Name],$A$2,salesData[Region],$B$2,salesData[Medical Rep],$C$2,salesData[Month],$D$2,salesData[Quarter],$E$2,salesData[Year],$F$2)</f>
        <v/>
      </c>
      <c r="D42" s="28">
        <f>IFERROR(B42/C42,0)</f>
        <v/>
      </c>
      <c r="E42" s="27">
        <f>B42-C42</f>
        <v/>
      </c>
      <c r="F42" s="28">
        <f>IFERROR(B42/$B$5,0)</f>
        <v/>
      </c>
      <c r="G42" s="25">
        <f>RANK.EQ(B42,B$34:B$43,0)</f>
        <v/>
      </c>
    </row>
    <row r="43">
      <c r="A43" s="25" t="inlineStr">
        <is>
          <t>Cataflam 25 MG</t>
        </is>
      </c>
      <c r="B43" s="27">
        <f>SUMIFS(salesData[Sales Value],salesData[Product Name],A43,salesData[Product Name],$A$2,salesData[Region],$B$2,salesData[Medical Rep],$C$2,salesData[Month],$D$2,salesData[Quarter],$E$2,salesData[Year],$F$2)</f>
        <v/>
      </c>
      <c r="C43" s="27">
        <f>SUMIFS(salesData[Target Value],salesData[Product Name],A43,salesData[Product Name],$A$2,salesData[Region],$B$2,salesData[Medical Rep],$C$2,salesData[Month],$D$2,salesData[Quarter],$E$2,salesData[Year],$F$2)</f>
        <v/>
      </c>
      <c r="D43" s="28">
        <f>IFERROR(B43/C43,0)</f>
        <v/>
      </c>
      <c r="E43" s="27">
        <f>B43-C43</f>
        <v/>
      </c>
      <c r="F43" s="28">
        <f>IFERROR(B43/$B$5,0)</f>
        <v/>
      </c>
      <c r="G43" s="25">
        <f>RANK.EQ(B43,B$34:B$43,0)</f>
        <v/>
      </c>
    </row>
    <row r="44"/>
    <row r="45"/>
    <row r="46"/>
    <row r="47"/>
    <row r="48">
      <c r="A48" s="25" t="inlineStr">
        <is>
          <t>Regional Performance</t>
        </is>
      </c>
    </row>
    <row r="49">
      <c r="A49" s="21" t="inlineStr">
        <is>
          <t>Name</t>
        </is>
      </c>
      <c r="B49" s="21" t="inlineStr">
        <is>
          <t>Sales Value</t>
        </is>
      </c>
      <c r="C49" s="21" t="inlineStr">
        <is>
          <t>Target Value</t>
        </is>
      </c>
      <c r="D49" s="21" t="inlineStr">
        <is>
          <t>Achievement %</t>
        </is>
      </c>
      <c r="E49" s="21" t="inlineStr">
        <is>
          <t>Variance</t>
        </is>
      </c>
      <c r="F49" s="21" t="inlineStr">
        <is>
          <t>Contribution %</t>
        </is>
      </c>
      <c r="G49" s="21" t="inlineStr">
        <is>
          <t>Rank</t>
        </is>
      </c>
    </row>
    <row r="50">
      <c r="A50" s="25" t="inlineStr">
        <is>
          <t>Ismailia</t>
        </is>
      </c>
      <c r="B50" s="27">
        <f>SUMIFS(salesData[Sales Value],salesData[Region],A50,salesData[Product Name],$A$2,salesData[Region],$B$2,salesData[Medical Rep],$C$2,salesData[Month],$D$2,salesData[Quarter],$E$2,salesData[Year],$F$2)</f>
        <v/>
      </c>
      <c r="C50" s="27">
        <f>SUMIFS(salesData[Target Value],salesData[Region],A50,salesData[Product Name],$A$2,salesData[Region],$B$2,salesData[Medical Rep],$C$2,salesData[Month],$D$2,salesData[Quarter],$E$2,salesData[Year],$F$2)</f>
        <v/>
      </c>
      <c r="D50" s="28">
        <f>IFERROR(B50/C50,0)</f>
        <v/>
      </c>
      <c r="E50" s="27">
        <f>B50-C50</f>
        <v/>
      </c>
      <c r="F50" s="28">
        <f>IFERROR(B50/$B$5,0)</f>
        <v/>
      </c>
      <c r="G50" s="25">
        <f>RANK.EQ(B50,B$50:B$59,0)</f>
        <v/>
      </c>
    </row>
    <row r="51">
      <c r="A51" s="25" t="inlineStr">
        <is>
          <t>Sharqia 2</t>
        </is>
      </c>
      <c r="B51" s="27">
        <f>SUMIFS(salesData[Sales Value],salesData[Region],A51,salesData[Product Name],$A$2,salesData[Region],$B$2,salesData[Medical Rep],$C$2,salesData[Month],$D$2,salesData[Quarter],$E$2,salesData[Year],$F$2)</f>
        <v/>
      </c>
      <c r="C51" s="27">
        <f>SUMIFS(salesData[Target Value],salesData[Region],A51,salesData[Product Name],$A$2,salesData[Region],$B$2,salesData[Medical Rep],$C$2,salesData[Month],$D$2,salesData[Quarter],$E$2,salesData[Year],$F$2)</f>
        <v/>
      </c>
      <c r="D51" s="28">
        <f>IFERROR(B51/C51,0)</f>
        <v/>
      </c>
      <c r="E51" s="27">
        <f>B51-C51</f>
        <v/>
      </c>
      <c r="F51" s="28">
        <f>IFERROR(B51/$B$5,0)</f>
        <v/>
      </c>
      <c r="G51" s="25">
        <f>RANK.EQ(B51,B$50:B$59,0)</f>
        <v/>
      </c>
    </row>
    <row r="52">
      <c r="A52" s="25" t="inlineStr">
        <is>
          <t>Alexandria 1</t>
        </is>
      </c>
      <c r="B52" s="27">
        <f>SUMIFS(salesData[Sales Value],salesData[Region],A52,salesData[Product Name],$A$2,salesData[Region],$B$2,salesData[Medical Rep],$C$2,salesData[Month],$D$2,salesData[Quarter],$E$2,salesData[Year],$F$2)</f>
        <v/>
      </c>
      <c r="C52" s="27">
        <f>SUMIFS(salesData[Target Value],salesData[Region],A52,salesData[Product Name],$A$2,salesData[Region],$B$2,salesData[Medical Rep],$C$2,salesData[Month],$D$2,salesData[Quarter],$E$2,salesData[Year],$F$2)</f>
        <v/>
      </c>
      <c r="D52" s="28">
        <f>IFERROR(B52/C52,0)</f>
        <v/>
      </c>
      <c r="E52" s="27">
        <f>B52-C52</f>
        <v/>
      </c>
      <c r="F52" s="28">
        <f>IFERROR(B52/$B$5,0)</f>
        <v/>
      </c>
      <c r="G52" s="25">
        <f>RANK.EQ(B52,B$50:B$59,0)</f>
        <v/>
      </c>
    </row>
    <row r="53">
      <c r="A53" s="25" t="inlineStr">
        <is>
          <t>Dakahlia 2</t>
        </is>
      </c>
      <c r="B53" s="27">
        <f>SUMIFS(salesData[Sales Value],salesData[Region],A53,salesData[Product Name],$A$2,salesData[Region],$B$2,salesData[Medical Rep],$C$2,salesData[Month],$D$2,salesData[Quarter],$E$2,salesData[Year],$F$2)</f>
        <v/>
      </c>
      <c r="C53" s="27">
        <f>SUMIFS(salesData[Target Value],salesData[Region],A53,salesData[Product Name],$A$2,salesData[Region],$B$2,salesData[Medical Rep],$C$2,salesData[Month],$D$2,salesData[Quarter],$E$2,salesData[Year],$F$2)</f>
        <v/>
      </c>
      <c r="D53" s="28">
        <f>IFERROR(B53/C53,0)</f>
        <v/>
      </c>
      <c r="E53" s="27">
        <f>B53-C53</f>
        <v/>
      </c>
      <c r="F53" s="28">
        <f>IFERROR(B53/$B$5,0)</f>
        <v/>
      </c>
      <c r="G53" s="25">
        <f>RANK.EQ(B53,B$50:B$59,0)</f>
        <v/>
      </c>
    </row>
    <row r="54">
      <c r="A54" s="25" t="inlineStr">
        <is>
          <t>Cairo 2</t>
        </is>
      </c>
      <c r="B54" s="27">
        <f>SUMIFS(salesData[Sales Value],salesData[Region],A54,salesData[Product Name],$A$2,salesData[Region],$B$2,salesData[Medical Rep],$C$2,salesData[Month],$D$2,salesData[Quarter],$E$2,salesData[Year],$F$2)</f>
        <v/>
      </c>
      <c r="C54" s="27">
        <f>SUMIFS(salesData[Target Value],salesData[Region],A54,salesData[Product Name],$A$2,salesData[Region],$B$2,salesData[Medical Rep],$C$2,salesData[Month],$D$2,salesData[Quarter],$E$2,salesData[Year],$F$2)</f>
        <v/>
      </c>
      <c r="D54" s="28">
        <f>IFERROR(B54/C54,0)</f>
        <v/>
      </c>
      <c r="E54" s="27">
        <f>B54-C54</f>
        <v/>
      </c>
      <c r="F54" s="28">
        <f>IFERROR(B54/$B$5,0)</f>
        <v/>
      </c>
      <c r="G54" s="25">
        <f>RANK.EQ(B54,B$50:B$59,0)</f>
        <v/>
      </c>
    </row>
    <row r="55">
      <c r="A55" s="25" t="inlineStr">
        <is>
          <t>Alexandria 2</t>
        </is>
      </c>
      <c r="B55" s="27">
        <f>SUMIFS(salesData[Sales Value],salesData[Region],A55,salesData[Product Name],$A$2,salesData[Region],$B$2,salesData[Medical Rep],$C$2,salesData[Month],$D$2,salesData[Quarter],$E$2,salesData[Year],$F$2)</f>
        <v/>
      </c>
      <c r="C55" s="27">
        <f>SUMIFS(salesData[Target Value],salesData[Region],A55,salesData[Product Name],$A$2,salesData[Region],$B$2,salesData[Medical Rep],$C$2,salesData[Month],$D$2,salesData[Quarter],$E$2,salesData[Year],$F$2)</f>
        <v/>
      </c>
      <c r="D55" s="28">
        <f>IFERROR(B55/C55,0)</f>
        <v/>
      </c>
      <c r="E55" s="27">
        <f>B55-C55</f>
        <v/>
      </c>
      <c r="F55" s="28">
        <f>IFERROR(B55/$B$5,0)</f>
        <v/>
      </c>
      <c r="G55" s="25">
        <f>RANK.EQ(B55,B$50:B$59,0)</f>
        <v/>
      </c>
    </row>
    <row r="56">
      <c r="A56" s="25" t="inlineStr">
        <is>
          <t>Cairo 1</t>
        </is>
      </c>
      <c r="B56" s="27">
        <f>SUMIFS(salesData[Sales Value],salesData[Region],A56,salesData[Product Name],$A$2,salesData[Region],$B$2,salesData[Medical Rep],$C$2,salesData[Month],$D$2,salesData[Quarter],$E$2,salesData[Year],$F$2)</f>
        <v/>
      </c>
      <c r="C56" s="27">
        <f>SUMIFS(salesData[Target Value],salesData[Region],A56,salesData[Product Name],$A$2,salesData[Region],$B$2,salesData[Medical Rep],$C$2,salesData[Month],$D$2,salesData[Quarter],$E$2,salesData[Year],$F$2)</f>
        <v/>
      </c>
      <c r="D56" s="28">
        <f>IFERROR(B56/C56,0)</f>
        <v/>
      </c>
      <c r="E56" s="27">
        <f>B56-C56</f>
        <v/>
      </c>
      <c r="F56" s="28">
        <f>IFERROR(B56/$B$5,0)</f>
        <v/>
      </c>
      <c r="G56" s="25">
        <f>RANK.EQ(B56,B$50:B$59,0)</f>
        <v/>
      </c>
    </row>
    <row r="57">
      <c r="A57" s="25" t="inlineStr">
        <is>
          <t>Dakahlia 1</t>
        </is>
      </c>
      <c r="B57" s="27">
        <f>SUMIFS(salesData[Sales Value],salesData[Region],A57,salesData[Product Name],$A$2,salesData[Region],$B$2,salesData[Medical Rep],$C$2,salesData[Month],$D$2,salesData[Quarter],$E$2,salesData[Year],$F$2)</f>
        <v/>
      </c>
      <c r="C57" s="27">
        <f>SUMIFS(salesData[Target Value],salesData[Region],A57,salesData[Product Name],$A$2,salesData[Region],$B$2,salesData[Medical Rep],$C$2,salesData[Month],$D$2,salesData[Quarter],$E$2,salesData[Year],$F$2)</f>
        <v/>
      </c>
      <c r="D57" s="28">
        <f>IFERROR(B57/C57,0)</f>
        <v/>
      </c>
      <c r="E57" s="27">
        <f>B57-C57</f>
        <v/>
      </c>
      <c r="F57" s="28">
        <f>IFERROR(B57/$B$5,0)</f>
        <v/>
      </c>
      <c r="G57" s="25">
        <f>RANK.EQ(B57,B$50:B$59,0)</f>
        <v/>
      </c>
    </row>
    <row r="58">
      <c r="A58" s="25" t="inlineStr">
        <is>
          <t>Suez</t>
        </is>
      </c>
      <c r="B58" s="27">
        <f>SUMIFS(salesData[Sales Value],salesData[Region],A58,salesData[Product Name],$A$2,salesData[Region],$B$2,salesData[Medical Rep],$C$2,salesData[Month],$D$2,salesData[Quarter],$E$2,salesData[Year],$F$2)</f>
        <v/>
      </c>
      <c r="C58" s="27">
        <f>SUMIFS(salesData[Target Value],salesData[Region],A58,salesData[Product Name],$A$2,salesData[Region],$B$2,salesData[Medical Rep],$C$2,salesData[Month],$D$2,salesData[Quarter],$E$2,salesData[Year],$F$2)</f>
        <v/>
      </c>
      <c r="D58" s="28">
        <f>IFERROR(B58/C58,0)</f>
        <v/>
      </c>
      <c r="E58" s="27">
        <f>B58-C58</f>
        <v/>
      </c>
      <c r="F58" s="28">
        <f>IFERROR(B58/$B$5,0)</f>
        <v/>
      </c>
      <c r="G58" s="25">
        <f>RANK.EQ(B58,B$50:B$59,0)</f>
        <v/>
      </c>
    </row>
    <row r="59">
      <c r="A59" s="25" t="inlineStr">
        <is>
          <t>Sharqia 1</t>
        </is>
      </c>
      <c r="B59" s="27">
        <f>SUMIFS(salesData[Sales Value],salesData[Region],A59,salesData[Product Name],$A$2,salesData[Region],$B$2,salesData[Medical Rep],$C$2,salesData[Month],$D$2,salesData[Quarter],$E$2,salesData[Year],$F$2)</f>
        <v/>
      </c>
      <c r="C59" s="27">
        <f>SUMIFS(salesData[Target Value],salesData[Region],A59,salesData[Product Name],$A$2,salesData[Region],$B$2,salesData[Medical Rep],$C$2,salesData[Month],$D$2,salesData[Quarter],$E$2,salesData[Year],$F$2)</f>
        <v/>
      </c>
      <c r="D59" s="28">
        <f>IFERROR(B59/C59,0)</f>
        <v/>
      </c>
      <c r="E59" s="27">
        <f>B59-C59</f>
        <v/>
      </c>
      <c r="F59" s="28">
        <f>IFERROR(B59/$B$5,0)</f>
        <v/>
      </c>
      <c r="G59" s="25">
        <f>RANK.EQ(B59,B$50:B$59,0)</f>
        <v/>
      </c>
    </row>
    <row r="60"/>
    <row r="61"/>
    <row r="62"/>
    <row r="63"/>
    <row r="64">
      <c r="A64" s="25" t="inlineStr">
        <is>
          <t>Medical Representative Performance</t>
        </is>
      </c>
    </row>
    <row r="65">
      <c r="A65" s="21" t="inlineStr">
        <is>
          <t>Name</t>
        </is>
      </c>
      <c r="B65" s="21" t="inlineStr">
        <is>
          <t>Sales Value</t>
        </is>
      </c>
      <c r="C65" s="21" t="inlineStr">
        <is>
          <t>Target Value</t>
        </is>
      </c>
      <c r="D65" s="21" t="inlineStr">
        <is>
          <t>Achievement %</t>
        </is>
      </c>
      <c r="E65" s="21" t="inlineStr">
        <is>
          <t>Variance</t>
        </is>
      </c>
      <c r="F65" s="21" t="inlineStr">
        <is>
          <t>Contribution %</t>
        </is>
      </c>
      <c r="G65" s="21" t="inlineStr">
        <is>
          <t>Rank</t>
        </is>
      </c>
    </row>
    <row r="66">
      <c r="A66" s="25" t="inlineStr">
        <is>
          <t>Mariam Saeed</t>
        </is>
      </c>
      <c r="B66" s="27">
        <f>SUMIFS(salesData[Sales Value],salesData[Medical Rep],A66,salesData[Product Name],$A$2,salesData[Region],$B$2,salesData[Medical Rep],$C$2,salesData[Month],$D$2,salesData[Quarter],$E$2,salesData[Year],$F$2)</f>
        <v/>
      </c>
      <c r="C66" s="27">
        <f>SUMIFS(salesData[Target Value],salesData[Medical Rep],A66,salesData[Product Name],$A$2,salesData[Region],$B$2,salesData[Medical Rep],$C$2,salesData[Month],$D$2,salesData[Quarter],$E$2,salesData[Year],$F$2)</f>
        <v/>
      </c>
      <c r="D66" s="28">
        <f>IFERROR(B66/C66,0)</f>
        <v/>
      </c>
      <c r="E66" s="27">
        <f>B66-C66</f>
        <v/>
      </c>
      <c r="F66" s="28">
        <f>IFERROR(B66/$B$5,0)</f>
        <v/>
      </c>
      <c r="G66" s="25">
        <f>RANK.EQ(B66,B$66:B$75,0)</f>
        <v/>
      </c>
    </row>
    <row r="67">
      <c r="A67" s="25" t="inlineStr">
        <is>
          <t>Youssef Farouk</t>
        </is>
      </c>
      <c r="B67" s="27">
        <f>SUMIFS(salesData[Sales Value],salesData[Medical Rep],A67,salesData[Product Name],$A$2,salesData[Region],$B$2,salesData[Medical Rep],$C$2,salesData[Month],$D$2,salesData[Quarter],$E$2,salesData[Year],$F$2)</f>
        <v/>
      </c>
      <c r="C67" s="27">
        <f>SUMIFS(salesData[Target Value],salesData[Medical Rep],A67,salesData[Product Name],$A$2,salesData[Region],$B$2,salesData[Medical Rep],$C$2,salesData[Month],$D$2,salesData[Quarter],$E$2,salesData[Year],$F$2)</f>
        <v/>
      </c>
      <c r="D67" s="28">
        <f>IFERROR(B67/C67,0)</f>
        <v/>
      </c>
      <c r="E67" s="27">
        <f>B67-C67</f>
        <v/>
      </c>
      <c r="F67" s="28">
        <f>IFERROR(B67/$B$5,0)</f>
        <v/>
      </c>
      <c r="G67" s="25">
        <f>RANK.EQ(B67,B$66:B$75,0)</f>
        <v/>
      </c>
    </row>
    <row r="68">
      <c r="A68" s="25" t="inlineStr">
        <is>
          <t>Ahmed Hassan</t>
        </is>
      </c>
      <c r="B68" s="27">
        <f>SUMIFS(salesData[Sales Value],salesData[Medical Rep],A68,salesData[Product Name],$A$2,salesData[Region],$B$2,salesData[Medical Rep],$C$2,salesData[Month],$D$2,salesData[Quarter],$E$2,salesData[Year],$F$2)</f>
        <v/>
      </c>
      <c r="C68" s="27">
        <f>SUMIFS(salesData[Target Value],salesData[Medical Rep],A68,salesData[Product Name],$A$2,salesData[Region],$B$2,salesData[Medical Rep],$C$2,salesData[Month],$D$2,salesData[Quarter],$E$2,salesData[Year],$F$2)</f>
        <v/>
      </c>
      <c r="D68" s="28">
        <f>IFERROR(B68/C68,0)</f>
        <v/>
      </c>
      <c r="E68" s="27">
        <f>B68-C68</f>
        <v/>
      </c>
      <c r="F68" s="28">
        <f>IFERROR(B68/$B$5,0)</f>
        <v/>
      </c>
      <c r="G68" s="25">
        <f>RANK.EQ(B68,B$66:B$75,0)</f>
        <v/>
      </c>
    </row>
    <row r="69">
      <c r="A69" s="25" t="inlineStr">
        <is>
          <t>Omar Khaled</t>
        </is>
      </c>
      <c r="B69" s="27">
        <f>SUMIFS(salesData[Sales Value],salesData[Medical Rep],A69,salesData[Product Name],$A$2,salesData[Region],$B$2,salesData[Medical Rep],$C$2,salesData[Month],$D$2,salesData[Quarter],$E$2,salesData[Year],$F$2)</f>
        <v/>
      </c>
      <c r="C69" s="27">
        <f>SUMIFS(salesData[Target Value],salesData[Medical Rep],A69,salesData[Product Name],$A$2,salesData[Region],$B$2,salesData[Medical Rep],$C$2,salesData[Month],$D$2,salesData[Quarter],$E$2,salesData[Year],$F$2)</f>
        <v/>
      </c>
      <c r="D69" s="28">
        <f>IFERROR(B69/C69,0)</f>
        <v/>
      </c>
      <c r="E69" s="27">
        <f>B69-C69</f>
        <v/>
      </c>
      <c r="F69" s="28">
        <f>IFERROR(B69/$B$5,0)</f>
        <v/>
      </c>
      <c r="G69" s="25">
        <f>RANK.EQ(B69,B$66:B$75,0)</f>
        <v/>
      </c>
    </row>
    <row r="70">
      <c r="A70" s="25" t="inlineStr">
        <is>
          <t>Hassan El-Shamy</t>
        </is>
      </c>
      <c r="B70" s="27">
        <f>SUMIFS(salesData[Sales Value],salesData[Medical Rep],A70,salesData[Product Name],$A$2,salesData[Region],$B$2,salesData[Medical Rep],$C$2,salesData[Month],$D$2,salesData[Quarter],$E$2,salesData[Year],$F$2)</f>
        <v/>
      </c>
      <c r="C70" s="27">
        <f>SUMIFS(salesData[Target Value],salesData[Medical Rep],A70,salesData[Product Name],$A$2,salesData[Region],$B$2,salesData[Medical Rep],$C$2,salesData[Month],$D$2,salesData[Quarter],$E$2,salesData[Year],$F$2)</f>
        <v/>
      </c>
      <c r="D70" s="28">
        <f>IFERROR(B70/C70,0)</f>
        <v/>
      </c>
      <c r="E70" s="27">
        <f>B70-C70</f>
        <v/>
      </c>
      <c r="F70" s="28">
        <f>IFERROR(B70/$B$5,0)</f>
        <v/>
      </c>
      <c r="G70" s="25">
        <f>RANK.EQ(B70,B$66:B$75,0)</f>
        <v/>
      </c>
    </row>
    <row r="71">
      <c r="A71" s="25" t="inlineStr">
        <is>
          <t>Amira Mostafa</t>
        </is>
      </c>
      <c r="B71" s="27">
        <f>SUMIFS(salesData[Sales Value],salesData[Medical Rep],A71,salesData[Product Name],$A$2,salesData[Region],$B$2,salesData[Medical Rep],$C$2,salesData[Month],$D$2,salesData[Quarter],$E$2,salesData[Year],$F$2)</f>
        <v/>
      </c>
      <c r="C71" s="27">
        <f>SUMIFS(salesData[Target Value],salesData[Medical Rep],A71,salesData[Product Name],$A$2,salesData[Region],$B$2,salesData[Medical Rep],$C$2,salesData[Month],$D$2,salesData[Quarter],$E$2,salesData[Year],$F$2)</f>
        <v/>
      </c>
      <c r="D71" s="28">
        <f>IFERROR(B71/C71,0)</f>
        <v/>
      </c>
      <c r="E71" s="27">
        <f>B71-C71</f>
        <v/>
      </c>
      <c r="F71" s="28">
        <f>IFERROR(B71/$B$5,0)</f>
        <v/>
      </c>
      <c r="G71" s="25">
        <f>RANK.EQ(B71,B$66:B$75,0)</f>
        <v/>
      </c>
    </row>
    <row r="72">
      <c r="A72" s="25" t="inlineStr">
        <is>
          <t>Fatma Ali</t>
        </is>
      </c>
      <c r="B72" s="27">
        <f>SUMIFS(salesData[Sales Value],salesData[Medical Rep],A72,salesData[Product Name],$A$2,salesData[Region],$B$2,salesData[Medical Rep],$C$2,salesData[Month],$D$2,salesData[Quarter],$E$2,salesData[Year],$F$2)</f>
        <v/>
      </c>
      <c r="C72" s="27">
        <f>SUMIFS(salesData[Target Value],salesData[Medical Rep],A72,salesData[Product Name],$A$2,salesData[Region],$B$2,salesData[Medical Rep],$C$2,salesData[Month],$D$2,salesData[Quarter],$E$2,salesData[Year],$F$2)</f>
        <v/>
      </c>
      <c r="D72" s="28">
        <f>IFERROR(B72/C72,0)</f>
        <v/>
      </c>
      <c r="E72" s="27">
        <f>B72-C72</f>
        <v/>
      </c>
      <c r="F72" s="28">
        <f>IFERROR(B72/$B$5,0)</f>
        <v/>
      </c>
      <c r="G72" s="25">
        <f>RANK.EQ(B72,B$66:B$75,0)</f>
        <v/>
      </c>
    </row>
    <row r="73">
      <c r="A73" s="25" t="inlineStr">
        <is>
          <t>Nour El-Din</t>
        </is>
      </c>
      <c r="B73" s="27">
        <f>SUMIFS(salesData[Sales Value],salesData[Medical Rep],A73,salesData[Product Name],$A$2,salesData[Region],$B$2,salesData[Medical Rep],$C$2,salesData[Month],$D$2,salesData[Quarter],$E$2,salesData[Year],$F$2)</f>
        <v/>
      </c>
      <c r="C73" s="27">
        <f>SUMIFS(salesData[Target Value],salesData[Medical Rep],A73,salesData[Product Name],$A$2,salesData[Region],$B$2,salesData[Medical Rep],$C$2,salesData[Month],$D$2,salesData[Quarter],$E$2,salesData[Year],$F$2)</f>
        <v/>
      </c>
      <c r="D73" s="28">
        <f>IFERROR(B73/C73,0)</f>
        <v/>
      </c>
      <c r="E73" s="27">
        <f>B73-C73</f>
        <v/>
      </c>
      <c r="F73" s="28">
        <f>IFERROR(B73/$B$5,0)</f>
        <v/>
      </c>
      <c r="G73" s="25">
        <f>RANK.EQ(B73,B$66:B$75,0)</f>
        <v/>
      </c>
    </row>
    <row r="74">
      <c r="A74" s="25" t="inlineStr">
        <is>
          <t>Mohamed Mahmoud</t>
        </is>
      </c>
      <c r="B74" s="27">
        <f>SUMIFS(salesData[Sales Value],salesData[Medical Rep],A74,salesData[Product Name],$A$2,salesData[Region],$B$2,salesData[Medical Rep],$C$2,salesData[Month],$D$2,salesData[Quarter],$E$2,salesData[Year],$F$2)</f>
        <v/>
      </c>
      <c r="C74" s="27">
        <f>SUMIFS(salesData[Target Value],salesData[Medical Rep],A74,salesData[Product Name],$A$2,salesData[Region],$B$2,salesData[Medical Rep],$C$2,salesData[Month],$D$2,salesData[Quarter],$E$2,salesData[Year],$F$2)</f>
        <v/>
      </c>
      <c r="D74" s="28">
        <f>IFERROR(B74/C74,0)</f>
        <v/>
      </c>
      <c r="E74" s="27">
        <f>B74-C74</f>
        <v/>
      </c>
      <c r="F74" s="28">
        <f>IFERROR(B74/$B$5,0)</f>
        <v/>
      </c>
      <c r="G74" s="25">
        <f>RANK.EQ(B74,B$66:B$75,0)</f>
        <v/>
      </c>
    </row>
    <row r="75">
      <c r="A75" s="25" t="inlineStr">
        <is>
          <t>Sara Ibrahim</t>
        </is>
      </c>
      <c r="B75" s="27">
        <f>SUMIFS(salesData[Sales Value],salesData[Medical Rep],A75,salesData[Product Name],$A$2,salesData[Region],$B$2,salesData[Medical Rep],$C$2,salesData[Month],$D$2,salesData[Quarter],$E$2,salesData[Year],$F$2)</f>
        <v/>
      </c>
      <c r="C75" s="27">
        <f>SUMIFS(salesData[Target Value],salesData[Medical Rep],A75,salesData[Product Name],$A$2,salesData[Region],$B$2,salesData[Medical Rep],$C$2,salesData[Month],$D$2,salesData[Quarter],$E$2,salesData[Year],$F$2)</f>
        <v/>
      </c>
      <c r="D75" s="28">
        <f>IFERROR(B75/C75,0)</f>
        <v/>
      </c>
      <c r="E75" s="27">
        <f>B75-C75</f>
        <v/>
      </c>
      <c r="F75" s="28">
        <f>IFERROR(B75/$B$5,0)</f>
        <v/>
      </c>
      <c r="G75" s="25">
        <f>RANK.EQ(B75,B$66:B$75,0)</f>
        <v/>
      </c>
    </row>
    <row r="76"/>
    <row r="77"/>
    <row r="78"/>
    <row r="79"/>
    <row r="80"/>
    <row r="81"/>
    <row r="82"/>
    <row r="83"/>
    <row r="84"/>
    <row r="85"/>
    <row r="86"/>
    <row r="87"/>
    <row r="88"/>
    <row r="89"/>
  </sheetData>
  <conditionalFormatting sqref="D50:D59">
    <cfRule type="colorScale" priority="1">
      <colorScale>
        <cfvo type="min"/>
        <cfvo type="percentile" val="50"/>
        <cfvo type="max"/>
        <color rgb="00D64545"/>
        <color rgb="00F2A93B"/>
        <color rgb="002EAD67"/>
      </colorScale>
    </cfRule>
  </conditionalFormatting>
  <conditionalFormatting sqref="D66:D75">
    <cfRule type="colorScale" priority="2">
      <colorScale>
        <cfvo type="min"/>
        <cfvo type="percentile" val="50"/>
        <cfvo type="max"/>
        <color rgb="00D64545"/>
        <color rgb="00F2A93B"/>
        <color rgb="002EAD67"/>
      </colorScale>
    </cfRule>
  </conditionalFormatting>
  <conditionalFormatting sqref="B34:B43">
    <cfRule type="dataBar" priority="3">
      <dataBar showValue="1">
        <cfvo type="min"/>
        <cfvo type="max"/>
        <color rgb="001F9D8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sheetData>
    <row r="1">
      <c r="A1" s="29" t="inlineStr">
        <is>
          <t>Product Name</t>
        </is>
      </c>
      <c r="B1" s="29" t="inlineStr">
        <is>
          <t>Region</t>
        </is>
      </c>
      <c r="C1" s="29" t="inlineStr">
        <is>
          <t>Medical Rep</t>
        </is>
      </c>
      <c r="D1" s="29" t="inlineStr">
        <is>
          <t>Month</t>
        </is>
      </c>
      <c r="E1" s="29" t="inlineStr">
        <is>
          <t>Quarter</t>
        </is>
      </c>
      <c r="F1" s="29" t="inlineStr">
        <is>
          <t>Year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</row>
    <row r="3">
      <c r="A3" t="inlineStr">
        <is>
          <t>Augmentin 1000 MG</t>
        </is>
      </c>
      <c r="B3" t="inlineStr">
        <is>
          <t>Alexandria 1</t>
        </is>
      </c>
      <c r="C3" t="inlineStr">
        <is>
          <t>Ahmed Hassan</t>
        </is>
      </c>
      <c r="D3" t="inlineStr">
        <is>
          <t>Jan</t>
        </is>
      </c>
      <c r="E3" t="inlineStr">
        <is>
          <t>Q1</t>
        </is>
      </c>
      <c r="F3" t="n">
        <v>2024</v>
      </c>
    </row>
    <row r="4">
      <c r="A4" t="inlineStr">
        <is>
          <t>Augmentin 625 MG</t>
        </is>
      </c>
      <c r="B4" t="inlineStr">
        <is>
          <t>Alexandria 2</t>
        </is>
      </c>
      <c r="C4" t="inlineStr">
        <is>
          <t>Amira Mostafa</t>
        </is>
      </c>
      <c r="D4" t="inlineStr">
        <is>
          <t>Feb</t>
        </is>
      </c>
      <c r="E4" t="inlineStr">
        <is>
          <t>Q2</t>
        </is>
      </c>
    </row>
    <row r="5">
      <c r="A5" t="inlineStr">
        <is>
          <t>Cataflam 25 MG</t>
        </is>
      </c>
      <c r="B5" t="inlineStr">
        <is>
          <t>Cairo 1</t>
        </is>
      </c>
      <c r="C5" t="inlineStr">
        <is>
          <t>Fatma Ali</t>
        </is>
      </c>
      <c r="D5" t="inlineStr">
        <is>
          <t>Mar</t>
        </is>
      </c>
      <c r="E5" t="inlineStr">
        <is>
          <t>Q3</t>
        </is>
      </c>
    </row>
    <row r="6">
      <c r="A6" t="inlineStr">
        <is>
          <t>Cataflam 50 MG</t>
        </is>
      </c>
      <c r="B6" t="inlineStr">
        <is>
          <t>Cairo 2</t>
        </is>
      </c>
      <c r="C6" t="inlineStr">
        <is>
          <t>Hassan El-Shamy</t>
        </is>
      </c>
      <c r="D6" t="inlineStr">
        <is>
          <t>Apr</t>
        </is>
      </c>
      <c r="E6" t="inlineStr">
        <is>
          <t>Q4</t>
        </is>
      </c>
    </row>
    <row r="7">
      <c r="A7" t="inlineStr">
        <is>
          <t>Concor 10 MG</t>
        </is>
      </c>
      <c r="B7" t="inlineStr">
        <is>
          <t>Dakahlia 1</t>
        </is>
      </c>
      <c r="C7" t="inlineStr">
        <is>
          <t>Mariam Saeed</t>
        </is>
      </c>
      <c r="D7" t="inlineStr">
        <is>
          <t>May</t>
        </is>
      </c>
    </row>
    <row r="8">
      <c r="A8" t="inlineStr">
        <is>
          <t>Concor 5 MG</t>
        </is>
      </c>
      <c r="B8" t="inlineStr">
        <is>
          <t>Dakahlia 2</t>
        </is>
      </c>
      <c r="C8" t="inlineStr">
        <is>
          <t>Mohamed Mahmoud</t>
        </is>
      </c>
      <c r="D8" t="inlineStr">
        <is>
          <t>Jun</t>
        </is>
      </c>
    </row>
    <row r="9">
      <c r="A9" t="inlineStr">
        <is>
          <t>Glucophage 1000 MG</t>
        </is>
      </c>
      <c r="B9" t="inlineStr">
        <is>
          <t>Ismailia</t>
        </is>
      </c>
      <c r="C9" t="inlineStr">
        <is>
          <t>Nour El-Din</t>
        </is>
      </c>
      <c r="D9" t="inlineStr">
        <is>
          <t>Jul</t>
        </is>
      </c>
    </row>
    <row r="10">
      <c r="A10" t="inlineStr">
        <is>
          <t>Glucophage 500 MG</t>
        </is>
      </c>
      <c r="B10" t="inlineStr">
        <is>
          <t>Sharqia 1</t>
        </is>
      </c>
      <c r="C10" t="inlineStr">
        <is>
          <t>Omar Khaled</t>
        </is>
      </c>
      <c r="D10" t="inlineStr">
        <is>
          <t>Aug</t>
        </is>
      </c>
    </row>
    <row r="11">
      <c r="A11" t="inlineStr">
        <is>
          <t>Panadol 250 MG</t>
        </is>
      </c>
      <c r="B11" t="inlineStr">
        <is>
          <t>Sharqia 2</t>
        </is>
      </c>
      <c r="C11" t="inlineStr">
        <is>
          <t>Sara Ibrahim</t>
        </is>
      </c>
      <c r="D11" t="inlineStr">
        <is>
          <t>Sep</t>
        </is>
      </c>
    </row>
    <row r="12">
      <c r="A12" t="inlineStr">
        <is>
          <t>Panadol 500 MG</t>
        </is>
      </c>
      <c r="B12" t="inlineStr">
        <is>
          <t>Suez</t>
        </is>
      </c>
      <c r="C12" t="inlineStr">
        <is>
          <t>Youssef Farouk</t>
        </is>
      </c>
      <c r="D12" t="inlineStr">
        <is>
          <t>Oct</t>
        </is>
      </c>
    </row>
    <row r="13">
      <c r="D13" t="inlineStr">
        <is>
          <t>Nov</t>
        </is>
      </c>
    </row>
    <row r="14">
      <c r="D14" t="inlineStr">
        <is>
          <t>Dec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72" customWidth="1" min="3" max="3"/>
    <col width="42" customWidth="1" min="4" max="4"/>
  </cols>
  <sheetData>
    <row r="1">
      <c r="A1" s="29" t="inlineStr">
        <is>
          <t>Metric</t>
        </is>
      </c>
      <c r="B1" s="29" t="inlineStr">
        <is>
          <t>Excel Formula / Logic</t>
        </is>
      </c>
      <c r="C1" s="29" t="inlineStr">
        <is>
          <t>Power BI DAX Measure</t>
        </is>
      </c>
      <c r="D1" s="29" t="inlineStr">
        <is>
          <t>Business Meaning</t>
        </is>
      </c>
    </row>
    <row r="2">
      <c r="A2" s="30" t="inlineStr">
        <is>
          <t>Total Sales Units</t>
        </is>
      </c>
      <c r="B2" s="30" t="inlineStr">
        <is>
          <t>'=SUM(salesData[Sales_Units])</t>
        </is>
      </c>
      <c r="C2" s="30" t="inlineStr">
        <is>
          <t>Total Sales Units = SUM(salesData[Sales_Units])</t>
        </is>
      </c>
      <c r="D2" s="30" t="inlineStr">
        <is>
          <t>Total physical units sold.</t>
        </is>
      </c>
    </row>
    <row r="3">
      <c r="A3" s="30" t="inlineStr">
        <is>
          <t>Total Sales Value</t>
        </is>
      </c>
      <c r="B3" s="30" t="inlineStr">
        <is>
          <t>'=SUM(salesData[Sales Value])</t>
        </is>
      </c>
      <c r="C3" s="30" t="inlineStr">
        <is>
          <t>Total Sales Value = SUM(salesData[sale value])</t>
        </is>
      </c>
      <c r="D3" s="30" t="inlineStr">
        <is>
          <t>Gross actual sales value.</t>
        </is>
      </c>
    </row>
    <row r="4">
      <c r="A4" s="30" t="inlineStr">
        <is>
          <t>Total Target Units</t>
        </is>
      </c>
      <c r="B4" s="30" t="inlineStr">
        <is>
          <t>'=SUM(salesData[Target_Units])</t>
        </is>
      </c>
      <c r="C4" s="30" t="inlineStr">
        <is>
          <t>Total Target Units = SUM(salesData[Target_Units])</t>
        </is>
      </c>
      <c r="D4" s="30" t="inlineStr">
        <is>
          <t>Planned sales units.</t>
        </is>
      </c>
    </row>
    <row r="5">
      <c r="A5" s="30" t="inlineStr">
        <is>
          <t>Total Target Value</t>
        </is>
      </c>
      <c r="B5" s="30" t="inlineStr">
        <is>
          <t>'=SUM(salesData[Target Value])</t>
        </is>
      </c>
      <c r="C5" s="30" t="inlineStr">
        <is>
          <t>Total Target Value = SUM(salesData[target value])</t>
        </is>
      </c>
      <c r="D5" s="30" t="inlineStr">
        <is>
          <t>Planned sales value.</t>
        </is>
      </c>
    </row>
    <row r="6">
      <c r="A6" s="30" t="inlineStr">
        <is>
          <t>Achievement %</t>
        </is>
      </c>
      <c r="B6" s="30" t="inlineStr">
        <is>
          <t>'=Total Sales Value / Total Target Value</t>
        </is>
      </c>
      <c r="C6" s="30" t="inlineStr">
        <is>
          <t>Achievement % = DIVIDE([Total Sales Value], [Total Target Value])</t>
        </is>
      </c>
      <c r="D6" s="30" t="inlineStr">
        <is>
          <t>Target delivery ratio.</t>
        </is>
      </c>
    </row>
    <row r="7">
      <c r="A7" s="30" t="inlineStr">
        <is>
          <t>Variance vs Target</t>
        </is>
      </c>
      <c r="B7" s="30" t="inlineStr">
        <is>
          <t>'=Total Sales Value - Total Target Value</t>
        </is>
      </c>
      <c r="C7" s="30" t="inlineStr">
        <is>
          <t>Variance vs Target = [Total Sales Value] - [Total Target Value]</t>
        </is>
      </c>
      <c r="D7" s="30" t="inlineStr">
        <is>
          <t>Absolute over/under-performance.</t>
        </is>
      </c>
    </row>
    <row r="8">
      <c r="A8" s="30" t="inlineStr">
        <is>
          <t>Variance %</t>
        </is>
      </c>
      <c r="B8" s="30" t="inlineStr">
        <is>
          <t>'=Variance vs Target / Total Target Value</t>
        </is>
      </c>
      <c r="C8" s="30" t="inlineStr">
        <is>
          <t>Variance % = DIVIDE([Variance vs Target], [Total Target Value])</t>
        </is>
      </c>
      <c r="D8" s="30" t="inlineStr">
        <is>
          <t>Relative over/under-performance.</t>
        </is>
      </c>
    </row>
    <row r="9">
      <c r="A9" s="30" t="inlineStr">
        <is>
          <t>Number of Products</t>
        </is>
      </c>
      <c r="B9" s="30" t="inlineStr">
        <is>
          <t>'=COUNTA(UNIQUE(salesData[Product Name]))</t>
        </is>
      </c>
      <c r="C9" s="30" t="inlineStr">
        <is>
          <t>Number of Products = DISTINCTCOUNT(salesData[product name])</t>
        </is>
      </c>
      <c r="D9" s="30" t="inlineStr">
        <is>
          <t>Portfolio breadth in current filter context.</t>
        </is>
      </c>
    </row>
    <row r="10">
      <c r="A10" s="30" t="inlineStr">
        <is>
          <t>Number of Medical Reps</t>
        </is>
      </c>
      <c r="B10" s="30" t="inlineStr">
        <is>
          <t>'=COUNTA(UNIQUE(salesData[Medical Rep]))</t>
        </is>
      </c>
      <c r="C10" s="30" t="inlineStr">
        <is>
          <t>Number of Medical Representatives = DISTINCTCOUNT(salesData[Medical_Rep])</t>
        </is>
      </c>
      <c r="D10" s="30" t="inlineStr">
        <is>
          <t>Active sales-force count.</t>
        </is>
      </c>
    </row>
    <row r="11">
      <c r="A11" s="30" t="inlineStr">
        <is>
          <t>Average Sales per Rep</t>
        </is>
      </c>
      <c r="B11" s="30" t="inlineStr">
        <is>
          <t>'=Total Sales Value / Number of Medical Reps</t>
        </is>
      </c>
      <c r="C11" s="30" t="inlineStr">
        <is>
          <t>Average Sales per Rep = DIVIDE([Total Sales Value], [Number of Medical Representatives])</t>
        </is>
      </c>
      <c r="D11" s="30" t="inlineStr">
        <is>
          <t>Productivity indicator.</t>
        </is>
      </c>
    </row>
    <row r="12">
      <c r="A12" s="30" t="inlineStr">
        <is>
          <t>Sales Contribution %</t>
        </is>
      </c>
      <c r="B12" s="30" t="inlineStr">
        <is>
          <t>'=Entity Sales / Total Sales</t>
        </is>
      </c>
      <c r="C12" s="30" t="inlineStr">
        <is>
          <t>Sales Contribution % = DIVIDE([Total Sales Value], CALCULATE([Total Sales Value], ALL(salesData)))</t>
        </is>
      </c>
      <c r="D12" s="30" t="inlineStr">
        <is>
          <t>Portfolio, region, or rep contribution.</t>
        </is>
      </c>
    </row>
    <row r="13">
      <c r="A13" s="30" t="inlineStr">
        <is>
          <t>MoM Growth %</t>
        </is>
      </c>
      <c r="B13" s="30" t="inlineStr">
        <is>
          <t>'=(Current Month Sales - Previous Month Sales) / Previous Month Sales</t>
        </is>
      </c>
      <c r="C13" s="30" t="inlineStr">
        <is>
          <t>MoM Growth % = VAR PreviousMonthSales = CALCULATE([Total Sales Value], DATEADD(salesData[date], -1, MONTH)) RETURN DIVIDE([Total Sales Value] - PreviousMonthSales, PreviousMonthSales)</t>
        </is>
      </c>
      <c r="D13" s="30" t="inlineStr">
        <is>
          <t>Momentum versus prior month.</t>
        </is>
      </c>
    </row>
    <row r="14">
      <c r="A14" s="30" t="inlineStr">
        <is>
          <t>Rep Rank</t>
        </is>
      </c>
      <c r="B14" s="30" t="inlineStr">
        <is>
          <t>'=RANK.EQ(Rep Sales, All Rep Sales, 0)</t>
        </is>
      </c>
      <c r="C14" s="30" t="inlineStr">
        <is>
          <t>Rep Rank = RANKX(ALL(salesData[Medical_Rep]), [Total Sales Value], , DESC)</t>
        </is>
      </c>
      <c r="D14" s="30" t="inlineStr">
        <is>
          <t>Dynamic sales-force ranking.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1" t="inlineStr">
        <is>
          <t>Professional Pharma Sales Dashboard - Guide</t>
        </is>
      </c>
    </row>
    <row r="3">
      <c r="A3" s="32" t="inlineStr">
        <is>
          <t>Dashboard Overview</t>
        </is>
      </c>
      <c r="B3" s="33" t="inlineStr">
        <is>
          <t>This workbook provides an executive pharma sales dashboard with KPI cards, trend analysis, product, region, and medical representative performance views.</t>
        </is>
      </c>
    </row>
    <row r="4">
      <c r="A4" s="32" t="inlineStr">
        <is>
          <t>How to Use Filters</t>
        </is>
      </c>
      <c r="B4" s="33" t="inlineStr">
        <is>
          <t>Use the dropdowns on the Dashboard header to filter Product, Region, Medical Rep, Month, Quarter, and Year. Charts and KPIs recalculate in Excel.</t>
        </is>
      </c>
    </row>
    <row r="5">
      <c r="A5" s="32" t="inlineStr">
        <is>
          <t>Data Source</t>
        </is>
      </c>
      <c r="B5" s="33" t="inlineStr">
        <is>
          <t>The Data sheet contains the cleaned salesData table from the original workbook. The original workbook was not overwritten.</t>
        </is>
      </c>
    </row>
    <row r="6">
      <c r="A6" s="32" t="inlineStr">
        <is>
          <t>Performance Segmentation</t>
        </is>
      </c>
      <c r="B6" s="33" t="inlineStr">
        <is>
          <t>Achievement values at or above 100% are strong, 90%-99.9% need monitoring, and below 90% require management attention.</t>
        </is>
      </c>
    </row>
    <row r="7">
      <c r="A7" s="32" t="inlineStr">
        <is>
          <t>Executive Recommendations</t>
        </is>
      </c>
      <c r="B7" s="33" t="inlineStr">
        <is>
          <t>Prioritize products and reps with high sales value but below-target achievement; use regional gaps to guide coaching and allocation decisions.</t>
        </is>
      </c>
    </row>
    <row r="8">
      <c r="A8" s="32" t="inlineStr">
        <is>
          <t>Future Enhancements</t>
        </is>
      </c>
      <c r="B8" s="33" t="inlineStr">
        <is>
          <t>Power BI migration, forecast projection, therapy-area segmentation, territory hierarchy, CRM activity integration, and automated refresh.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2026-05-18T20:52:21Z</dcterms:created>
  <dcterms:modified xmlns:dcterms="http://purl.org/dc/terms/" xmlns:xsi="http://www.w3.org/2001/XMLSchema-instance" xsi:type="dcterms:W3CDTF">2026-05-18T20:52:21Z</dcterms:modified>
</cp:coreProperties>
</file>